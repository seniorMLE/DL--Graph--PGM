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ink/ink8.xml" ContentType="application/inkml+xml"/>
  <Override PartName="/xl/ink/ink9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Bits Pilani Files\courses of BITS\graph mining\Contact Sessions\"/>
    </mc:Choice>
  </mc:AlternateContent>
  <bookViews>
    <workbookView xWindow="0" yWindow="0" windowWidth="20490" windowHeight="7755"/>
  </bookViews>
  <sheets>
    <sheet name="Eccentricity, Radius &amp; Diameter" sheetId="1" r:id="rId1"/>
    <sheet name="Degree distribution" sheetId="4" r:id="rId2"/>
    <sheet name="e(i),radius &amp; Diam digraph" sheetId="5" r:id="rId3"/>
  </sheets>
  <calcPr calcId="162913"/>
  <customWorkbookViews>
    <customWorkbookView name="Admin - Personal View" guid="{242195EF-1BA9-4DD7-B6CB-B6756D3C6090}" mergeInterval="0" personalView="1" maximized="1" xWindow="-8" yWindow="-8" windowWidth="1382" windowHeight="744" activeSheetId="4"/>
  </customWorkbookViews>
</workbook>
</file>

<file path=xl/calcChain.xml><?xml version="1.0" encoding="utf-8"?>
<calcChain xmlns="http://schemas.openxmlformats.org/spreadsheetml/2006/main">
  <c r="AH3" i="5" l="1"/>
  <c r="AG3" i="5"/>
  <c r="AF4" i="5"/>
  <c r="AF5" i="5"/>
  <c r="AF6" i="5"/>
  <c r="AF7" i="5"/>
  <c r="AF8" i="5"/>
  <c r="AF9" i="5"/>
  <c r="AF10" i="5"/>
  <c r="AF11" i="5"/>
  <c r="AF12" i="5"/>
  <c r="AF3" i="5"/>
  <c r="AC3" i="5"/>
  <c r="AB3" i="5"/>
  <c r="P20" i="5"/>
  <c r="P19" i="5"/>
  <c r="P14" i="5"/>
  <c r="P13" i="5"/>
  <c r="P15" i="5" s="1"/>
  <c r="AA12" i="5"/>
  <c r="Z12" i="5"/>
  <c r="K12" i="5"/>
  <c r="J12" i="5"/>
  <c r="I12" i="5"/>
  <c r="H12" i="5"/>
  <c r="G12" i="5"/>
  <c r="F12" i="5"/>
  <c r="E12" i="5"/>
  <c r="D12" i="5"/>
  <c r="C12" i="5"/>
  <c r="B12" i="5"/>
  <c r="AA11" i="5"/>
  <c r="Z11" i="5"/>
  <c r="M11" i="5"/>
  <c r="L11" i="5"/>
  <c r="AA10" i="5"/>
  <c r="Z10" i="5"/>
  <c r="L10" i="5"/>
  <c r="M10" i="5" s="1"/>
  <c r="AA9" i="5"/>
  <c r="Z9" i="5"/>
  <c r="M9" i="5"/>
  <c r="L9" i="5"/>
  <c r="AA8" i="5"/>
  <c r="Z8" i="5"/>
  <c r="L8" i="5"/>
  <c r="M8" i="5" s="1"/>
  <c r="AA7" i="5"/>
  <c r="Z7" i="5"/>
  <c r="M7" i="5"/>
  <c r="L7" i="5"/>
  <c r="AA6" i="5"/>
  <c r="Z6" i="5"/>
  <c r="L6" i="5"/>
  <c r="M6" i="5" s="1"/>
  <c r="AA5" i="5"/>
  <c r="Z5" i="5"/>
  <c r="M5" i="5"/>
  <c r="L5" i="5"/>
  <c r="AA4" i="5"/>
  <c r="Z4" i="5"/>
  <c r="L4" i="5"/>
  <c r="M4" i="5" s="1"/>
  <c r="AA3" i="5"/>
  <c r="Z3" i="5"/>
  <c r="M3" i="5"/>
  <c r="L3" i="5"/>
  <c r="L2" i="5"/>
  <c r="M2" i="5" s="1"/>
  <c r="M12" i="5" l="1"/>
  <c r="Q18" i="1" l="1"/>
  <c r="P18" i="1"/>
  <c r="Z4" i="1" l="1"/>
  <c r="Z5" i="1"/>
  <c r="Z6" i="1"/>
  <c r="Z7" i="1"/>
  <c r="Z8" i="1"/>
  <c r="Z9" i="1"/>
  <c r="Z10" i="1"/>
  <c r="Z11" i="1"/>
  <c r="Z12" i="1"/>
  <c r="Z3" i="1"/>
  <c r="R18" i="1" l="1"/>
  <c r="S18" i="1"/>
  <c r="T18" i="1"/>
  <c r="U18" i="1"/>
  <c r="V18" i="1"/>
  <c r="W18" i="1"/>
  <c r="X18" i="1"/>
  <c r="Y18" i="1"/>
  <c r="P19" i="1" l="1"/>
  <c r="P20" i="1"/>
  <c r="AB3" i="4"/>
  <c r="AB4" i="4"/>
  <c r="AB5" i="4"/>
  <c r="AB6" i="4"/>
  <c r="AB7" i="4"/>
  <c r="AB8" i="4"/>
  <c r="AB9" i="4"/>
  <c r="AB10" i="4"/>
  <c r="AB11" i="4"/>
  <c r="AB2" i="4"/>
  <c r="P13" i="4" l="1"/>
  <c r="P4" i="4"/>
  <c r="P5" i="4"/>
  <c r="P6" i="4"/>
  <c r="P7" i="4"/>
  <c r="P8" i="4"/>
  <c r="P9" i="4"/>
  <c r="P10" i="4"/>
  <c r="P11" i="4"/>
  <c r="P12" i="4"/>
  <c r="P3" i="4"/>
  <c r="O13" i="4"/>
  <c r="O4" i="4"/>
  <c r="O5" i="4"/>
  <c r="O6" i="4"/>
  <c r="O7" i="4"/>
  <c r="O8" i="4"/>
  <c r="O9" i="4"/>
  <c r="O10" i="4"/>
  <c r="O11" i="4"/>
  <c r="O12" i="4"/>
  <c r="O3" i="4"/>
  <c r="N13" i="4"/>
  <c r="N12" i="4"/>
  <c r="N11" i="4"/>
  <c r="N10" i="4"/>
  <c r="N9" i="4"/>
  <c r="N8" i="4"/>
  <c r="N7" i="4"/>
  <c r="N6" i="4"/>
  <c r="N5" i="4"/>
  <c r="N4" i="4"/>
  <c r="N3" i="4"/>
  <c r="S12" i="4"/>
  <c r="T12" i="4"/>
  <c r="U12" i="4"/>
  <c r="V12" i="4"/>
  <c r="W12" i="4"/>
  <c r="X12" i="4"/>
  <c r="Y12" i="4"/>
  <c r="Z12" i="4"/>
  <c r="AA12" i="4"/>
  <c r="R12" i="4"/>
  <c r="K13" i="4"/>
  <c r="J13" i="4"/>
  <c r="I13" i="4"/>
  <c r="H13" i="4"/>
  <c r="G13" i="4"/>
  <c r="F13" i="4"/>
  <c r="E13" i="4"/>
  <c r="D13" i="4"/>
  <c r="C13" i="4"/>
  <c r="B13" i="4"/>
  <c r="L12" i="4"/>
  <c r="L11" i="4"/>
  <c r="L10" i="4"/>
  <c r="M10" i="4" s="1"/>
  <c r="L9" i="4"/>
  <c r="L8" i="4"/>
  <c r="L7" i="4"/>
  <c r="L6" i="4"/>
  <c r="L5" i="4"/>
  <c r="L4" i="4"/>
  <c r="L3" i="4"/>
  <c r="Q13" i="1"/>
  <c r="R13" i="1"/>
  <c r="S13" i="1"/>
  <c r="T13" i="1"/>
  <c r="U13" i="1"/>
  <c r="V13" i="1"/>
  <c r="W13" i="1"/>
  <c r="X13" i="1"/>
  <c r="Y13" i="1"/>
  <c r="P13" i="1"/>
  <c r="P14" i="1" l="1"/>
  <c r="P15" i="1"/>
  <c r="R13" i="4"/>
  <c r="X14" i="4" s="1"/>
  <c r="M7" i="4"/>
  <c r="M5" i="4"/>
  <c r="M8" i="4"/>
  <c r="M6" i="4"/>
  <c r="M4" i="4"/>
  <c r="M11" i="4"/>
  <c r="M12" i="4"/>
  <c r="M3" i="4"/>
  <c r="M9" i="4"/>
  <c r="K12" i="1"/>
  <c r="J12" i="1"/>
  <c r="I12" i="1"/>
  <c r="H12" i="1"/>
  <c r="G12" i="1"/>
  <c r="F12" i="1"/>
  <c r="E12" i="1"/>
  <c r="D12" i="1"/>
  <c r="C12" i="1"/>
  <c r="B12" i="1"/>
  <c r="L11" i="1"/>
  <c r="L10" i="1"/>
  <c r="L9" i="1"/>
  <c r="M9" i="1" s="1"/>
  <c r="L8" i="1"/>
  <c r="L7" i="1"/>
  <c r="L6" i="1"/>
  <c r="L5" i="1"/>
  <c r="M5" i="1" s="1"/>
  <c r="L4" i="1"/>
  <c r="M4" i="1" s="1"/>
  <c r="L3" i="1"/>
  <c r="L2" i="1"/>
  <c r="AA14" i="4" l="1"/>
  <c r="Z14" i="4"/>
  <c r="S14" i="4"/>
  <c r="R14" i="4"/>
  <c r="V14" i="4"/>
  <c r="W14" i="4"/>
  <c r="T14" i="4"/>
  <c r="U14" i="4"/>
  <c r="Y14" i="4"/>
  <c r="M13" i="4"/>
  <c r="M7" i="1"/>
  <c r="M8" i="1"/>
  <c r="M2" i="1"/>
  <c r="M10" i="1"/>
  <c r="M3" i="1"/>
  <c r="M11" i="1"/>
  <c r="M6" i="1"/>
  <c r="M12" i="1" s="1"/>
  <c r="R15" i="4" l="1"/>
  <c r="AB4" i="5"/>
  <c r="AB5" i="5" l="1"/>
  <c r="AB6" i="5" l="1"/>
  <c r="AB7" i="5" l="1"/>
  <c r="AB8" i="5" l="1"/>
  <c r="AB9" i="5" l="1"/>
  <c r="AB10" i="5" l="1"/>
  <c r="AB11" i="5" l="1"/>
  <c r="AB12" i="5" l="1"/>
</calcChain>
</file>

<file path=xl/sharedStrings.xml><?xml version="1.0" encoding="utf-8"?>
<sst xmlns="http://schemas.openxmlformats.org/spreadsheetml/2006/main" count="192" uniqueCount="36">
  <si>
    <t xml:space="preserve">Node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</si>
  <si>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</si>
  <si>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</si>
  <si>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</si>
  <si>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</si>
  <si>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</si>
  <si>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</si>
  <si>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</si>
  <si>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</si>
  <si>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</si>
  <si>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</si>
  <si>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out degree</t>
  </si>
  <si>
    <t>degree</t>
  </si>
  <si>
    <t>in degree</t>
  </si>
  <si>
    <r>
      <t xml:space="preserve">All Pairs Shortest Paths of </t>
    </r>
    <r>
      <rPr>
        <b/>
        <u/>
        <sz val="20"/>
        <color rgb="FF000000"/>
        <rFont val="Calibri"/>
        <family val="2"/>
      </rPr>
      <t>Undirected</t>
    </r>
    <r>
      <rPr>
        <b/>
        <sz val="20"/>
        <color rgb="FF000000"/>
        <rFont val="Calibri"/>
        <family val="2"/>
      </rPr>
      <t xml:space="preserve"> graph</t>
    </r>
  </si>
  <si>
    <t>e(i)</t>
  </si>
  <si>
    <t>inf</t>
  </si>
  <si>
    <t>Degree distribution</t>
  </si>
  <si>
    <t>Degree Distribution</t>
  </si>
  <si>
    <t>indegree distribution</t>
  </si>
  <si>
    <t>outdegree distribution</t>
  </si>
  <si>
    <t>degree distribution</t>
  </si>
  <si>
    <t>Periferal Vertex</t>
  </si>
  <si>
    <t>Central Vertex</t>
  </si>
  <si>
    <t>Characteristic path length</t>
  </si>
  <si>
    <t>Average Diameter</t>
  </si>
  <si>
    <t>Average path length (from this node)</t>
  </si>
  <si>
    <t>Radius (g)</t>
  </si>
  <si>
    <t>Diam(g)</t>
  </si>
  <si>
    <r>
      <t xml:space="preserve"> E &amp; F </t>
    </r>
    <r>
      <rPr>
        <sz val="14"/>
        <color rgb="FFFF0000"/>
        <rFont val="Calibri"/>
        <family val="2"/>
      </rPr>
      <t>(vertices with eccentricity = Diam(g))</t>
    </r>
  </si>
  <si>
    <r>
      <t xml:space="preserve">I </t>
    </r>
    <r>
      <rPr>
        <sz val="14"/>
        <color rgb="FFFF0000"/>
        <rFont val="Calibri"/>
        <family val="2"/>
      </rPr>
      <t>(vertices with eccentricity = Radius(g))</t>
    </r>
  </si>
  <si>
    <r>
      <t xml:space="preserve">All Pairs Shortest Paths of </t>
    </r>
    <r>
      <rPr>
        <b/>
        <u/>
        <sz val="20"/>
        <color rgb="FF000000"/>
        <rFont val="Calibri"/>
        <family val="2"/>
      </rPr>
      <t>directed</t>
    </r>
    <r>
      <rPr>
        <b/>
        <sz val="20"/>
        <color rgb="FF000000"/>
        <rFont val="Calibri"/>
        <family val="2"/>
      </rPr>
      <t xml:space="preserve"> graph</t>
    </r>
  </si>
  <si>
    <r>
      <t xml:space="preserve"> H </t>
    </r>
    <r>
      <rPr>
        <sz val="14"/>
        <color rgb="FFFF0000"/>
        <rFont val="Calibri"/>
        <family val="2"/>
      </rPr>
      <t>(vertices with eccentricity = Diam(g))</t>
    </r>
  </si>
  <si>
    <r>
      <t xml:space="preserve">A &amp; D </t>
    </r>
    <r>
      <rPr>
        <sz val="14"/>
        <color rgb="FFFF0000"/>
        <rFont val="Calibri"/>
        <family val="2"/>
      </rPr>
      <t>(vertices with eccentricity = Radius(g))</t>
    </r>
  </si>
  <si>
    <r>
      <t xml:space="preserve"> H </t>
    </r>
    <r>
      <rPr>
        <b/>
        <sz val="14"/>
        <color rgb="FFFF0000"/>
        <rFont val="Calibri"/>
        <family val="2"/>
      </rPr>
      <t>(vertices with eccentricity = Diam(g))</t>
    </r>
  </si>
  <si>
    <r>
      <t xml:space="preserve">A &amp; D </t>
    </r>
    <r>
      <rPr>
        <b/>
        <sz val="14"/>
        <color rgb="FFFF0000"/>
        <rFont val="Calibri"/>
        <family val="2"/>
      </rPr>
      <t>(vertices with eccentricity = Radius(g))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</si>
</sst>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00"/>
    <numFmt numFmtId="165" formatCode="0.000"/>
    <numFmt numFmtId="166" formatCode="0.0000"/>
    <numFmt numFmtId="167" formatCode="0.0000000"/>
    <numFmt numFmtId="168" formatCode="0.000000000"/>
  </numFmts>
  <fonts count="19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44546A"/>
      <name val="Calibri"/>
      <family val="2"/>
    </font>
    <font>
      <b/>
      <sz val="14"/>
      <color rgb="FFC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8"/>
      <color rgb="FF000000"/>
      <name val="Calibri"/>
      <family val="2"/>
    </font>
    <font>
      <b/>
      <sz val="20"/>
      <color rgb="FF000000"/>
      <name val="Calibri"/>
      <family val="2"/>
    </font>
    <font>
      <b/>
      <u/>
      <sz val="20"/>
      <color rgb="FF000000"/>
      <name val="Calibri"/>
      <family val="2"/>
    </font>
    <font>
      <sz val="11"/>
      <color rgb="FF000000"/>
      <name val="Calibri"/>
      <family val="2"/>
    </font>
    <font>
      <sz val="18"/>
      <color rgb="FF000000"/>
      <name val="Calibri"/>
      <family val="2"/>
    </font>
    <font>
      <sz val="14"/>
      <color rgb="FF000000"/>
      <name val="Calibri"/>
      <family val="2"/>
    </font>
    <font>
      <b/>
      <sz val="22"/>
      <color rgb="FF000000"/>
      <name val="Calibri"/>
      <family val="2"/>
    </font>
    <font>
      <sz val="14"/>
      <color rgb="FFFF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ADB9CA"/>
        <bgColor rgb="FFADB9CA"/>
      </patternFill>
    </fill>
    <fill>
      <patternFill patternType="solid">
        <fgColor rgb="FFC5E0B3"/>
        <bgColor rgb="FFC5E0B3"/>
      </patternFill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theme="5" tint="-0.249977111117893"/>
        <bgColor rgb="FFC5E0B3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rgb="FFC5E0B3"/>
      </patternFill>
    </fill>
    <fill>
      <patternFill patternType="solid">
        <fgColor theme="7" tint="0.39997558519241921"/>
        <bgColor rgb="FFC5E0B3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</fills>
  <borders count="10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6" fillId="0" borderId="18"/>
  </cellStyleXfs>
  <cellXfs count="35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0" fillId="3" borderId="12" xfId="0" applyFont="1" applyFill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0" fontId="0" fillId="4" borderId="10" xfId="0" applyFont="1" applyFill="1" applyBorder="1" applyAlignment="1">
      <alignment horizontal="center" vertical="center"/>
    </xf>
    <xf numFmtId="0" fontId="0" fillId="4" borderId="12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3" borderId="14" xfId="0" applyFont="1" applyFill="1" applyBorder="1" applyAlignment="1">
      <alignment horizontal="center" vertical="center"/>
    </xf>
    <xf numFmtId="0" fontId="0" fillId="3" borderId="15" xfId="0" applyFont="1" applyFill="1" applyBorder="1" applyAlignment="1">
      <alignment horizontal="center" vertical="center"/>
    </xf>
    <xf numFmtId="0" fontId="0" fillId="4" borderId="15" xfId="0" applyFont="1" applyFill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0" fillId="5" borderId="1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6" borderId="6" xfId="0" applyFont="1" applyFill="1" applyBorder="1" applyAlignment="1">
      <alignment horizontal="center" vertical="center"/>
    </xf>
    <xf numFmtId="0" fontId="0" fillId="6" borderId="11" xfId="0" applyFont="1" applyFill="1" applyBorder="1" applyAlignment="1">
      <alignment horizontal="center" vertical="center"/>
    </xf>
    <xf numFmtId="0" fontId="0" fillId="6" borderId="16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0" fillId="8" borderId="30" xfId="0" applyFont="1" applyFill="1" applyBorder="1" applyAlignment="1"/>
    <xf numFmtId="0" fontId="0" fillId="8" borderId="31" xfId="0" applyFont="1" applyFill="1" applyBorder="1" applyAlignment="1"/>
    <xf numFmtId="0" fontId="0" fillId="8" borderId="32" xfId="0" applyFont="1" applyFill="1" applyBorder="1" applyAlignment="1"/>
    <xf numFmtId="0" fontId="0" fillId="8" borderId="18" xfId="0" applyFont="1" applyFill="1" applyBorder="1" applyAlignment="1"/>
    <xf numFmtId="0" fontId="0" fillId="8" borderId="33" xfId="0" applyFont="1" applyFill="1" applyBorder="1" applyAlignment="1"/>
    <xf numFmtId="0" fontId="0" fillId="8" borderId="34" xfId="0" applyFont="1" applyFill="1" applyBorder="1" applyAlignment="1"/>
    <xf numFmtId="0" fontId="0" fillId="8" borderId="35" xfId="0" applyFont="1" applyFill="1" applyBorder="1" applyAlignment="1"/>
    <xf numFmtId="0" fontId="0" fillId="8" borderId="36" xfId="0" applyFont="1" applyFill="1" applyBorder="1" applyAlignment="1"/>
    <xf numFmtId="0" fontId="0" fillId="9" borderId="11" xfId="0" applyFont="1" applyFill="1" applyBorder="1" applyAlignment="1">
      <alignment horizontal="center" vertical="center"/>
    </xf>
    <xf numFmtId="0" fontId="0" fillId="10" borderId="11" xfId="0" applyFont="1" applyFill="1" applyBorder="1" applyAlignment="1">
      <alignment horizontal="center" vertical="center"/>
    </xf>
    <xf numFmtId="0" fontId="11" fillId="12" borderId="43" xfId="0" applyFont="1" applyFill="1" applyBorder="1" applyAlignment="1">
      <alignment horizontal="center" vertical="center"/>
    </xf>
    <xf numFmtId="0" fontId="11" fillId="12" borderId="44" xfId="0" applyFont="1" applyFill="1" applyBorder="1" applyAlignment="1">
      <alignment horizontal="center" vertical="center"/>
    </xf>
    <xf numFmtId="0" fontId="2" fillId="2" borderId="56" xfId="0" applyFont="1" applyFill="1" applyBorder="1" applyAlignment="1">
      <alignment horizontal="center" vertical="center"/>
    </xf>
    <xf numFmtId="0" fontId="2" fillId="2" borderId="57" xfId="0" applyFont="1" applyFill="1" applyBorder="1" applyAlignment="1">
      <alignment horizontal="center" vertical="center"/>
    </xf>
    <xf numFmtId="0" fontId="2" fillId="2" borderId="58" xfId="0" applyFont="1" applyFill="1" applyBorder="1" applyAlignment="1">
      <alignment horizontal="center" vertical="center"/>
    </xf>
    <xf numFmtId="0" fontId="0" fillId="4" borderId="59" xfId="0" applyFont="1" applyFill="1" applyBorder="1" applyAlignment="1">
      <alignment horizontal="center" vertical="center"/>
    </xf>
    <xf numFmtId="0" fontId="0" fillId="10" borderId="59" xfId="0" applyFont="1" applyFill="1" applyBorder="1" applyAlignment="1">
      <alignment horizontal="center" vertical="center"/>
    </xf>
    <xf numFmtId="0" fontId="0" fillId="3" borderId="59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0" fillId="10" borderId="60" xfId="0" applyFont="1" applyFill="1" applyBorder="1" applyAlignment="1">
      <alignment horizontal="center" vertical="center"/>
    </xf>
    <xf numFmtId="0" fontId="0" fillId="3" borderId="60" xfId="0" applyFont="1" applyFill="1" applyBorder="1" applyAlignment="1">
      <alignment horizontal="center" vertical="center"/>
    </xf>
    <xf numFmtId="0" fontId="0" fillId="9" borderId="60" xfId="0" applyFont="1" applyFill="1" applyBorder="1" applyAlignment="1">
      <alignment horizontal="center" vertical="center"/>
    </xf>
    <xf numFmtId="0" fontId="0" fillId="4" borderId="6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10" fillId="6" borderId="61" xfId="0" applyFont="1" applyFill="1" applyBorder="1" applyAlignment="1">
      <alignment horizontal="center" vertical="center"/>
    </xf>
    <xf numFmtId="0" fontId="0" fillId="9" borderId="62" xfId="0" applyFont="1" applyFill="1" applyBorder="1" applyAlignment="1">
      <alignment horizontal="center" vertical="center"/>
    </xf>
    <xf numFmtId="0" fontId="0" fillId="4" borderId="62" xfId="0" applyFont="1" applyFill="1" applyBorder="1" applyAlignment="1">
      <alignment horizontal="center" vertical="center"/>
    </xf>
    <xf numFmtId="0" fontId="0" fillId="10" borderId="62" xfId="0" applyFont="1" applyFill="1" applyBorder="1" applyAlignment="1">
      <alignment horizontal="center" vertical="center"/>
    </xf>
    <xf numFmtId="0" fontId="0" fillId="3" borderId="62" xfId="0" applyFont="1" applyFill="1" applyBorder="1" applyAlignment="1">
      <alignment horizontal="center" vertical="center"/>
    </xf>
    <xf numFmtId="0" fontId="0" fillId="10" borderId="63" xfId="0" applyFont="1" applyFill="1" applyBorder="1" applyAlignment="1">
      <alignment horizontal="center" vertical="center"/>
    </xf>
    <xf numFmtId="0" fontId="11" fillId="12" borderId="67" xfId="0" applyFont="1" applyFill="1" applyBorder="1" applyAlignment="1">
      <alignment horizontal="center" vertical="center"/>
    </xf>
    <xf numFmtId="0" fontId="10" fillId="6" borderId="38" xfId="0" applyFont="1" applyFill="1" applyBorder="1" applyAlignment="1">
      <alignment horizontal="center" vertical="center"/>
    </xf>
    <xf numFmtId="0" fontId="0" fillId="4" borderId="38" xfId="0" applyFont="1" applyFill="1" applyBorder="1" applyAlignment="1">
      <alignment horizontal="center" vertical="center"/>
    </xf>
    <xf numFmtId="0" fontId="0" fillId="10" borderId="38" xfId="0" applyFont="1" applyFill="1" applyBorder="1" applyAlignment="1">
      <alignment horizontal="center" vertical="center"/>
    </xf>
    <xf numFmtId="0" fontId="0" fillId="3" borderId="38" xfId="0" applyFont="1" applyFill="1" applyBorder="1" applyAlignment="1">
      <alignment horizontal="center" vertical="center"/>
    </xf>
    <xf numFmtId="0" fontId="0" fillId="9" borderId="38" xfId="0" applyFont="1" applyFill="1" applyBorder="1" applyAlignment="1">
      <alignment horizontal="center" vertical="center"/>
    </xf>
    <xf numFmtId="0" fontId="10" fillId="6" borderId="45" xfId="0" applyFont="1" applyFill="1" applyBorder="1" applyAlignment="1">
      <alignment horizontal="center" vertical="center"/>
    </xf>
    <xf numFmtId="0" fontId="0" fillId="4" borderId="46" xfId="0" applyFont="1" applyFill="1" applyBorder="1" applyAlignment="1">
      <alignment horizontal="center" vertical="center"/>
    </xf>
    <xf numFmtId="0" fontId="0" fillId="10" borderId="46" xfId="0" applyFont="1" applyFill="1" applyBorder="1" applyAlignment="1">
      <alignment horizontal="center" vertical="center"/>
    </xf>
    <xf numFmtId="0" fontId="0" fillId="3" borderId="46" xfId="0" applyFont="1" applyFill="1" applyBorder="1" applyAlignment="1">
      <alignment horizontal="center" vertical="center"/>
    </xf>
    <xf numFmtId="0" fontId="0" fillId="10" borderId="47" xfId="0" applyFont="1" applyFill="1" applyBorder="1" applyAlignment="1">
      <alignment horizontal="center" vertical="center"/>
    </xf>
    <xf numFmtId="0" fontId="0" fillId="9" borderId="68" xfId="0" applyFont="1" applyFill="1" applyBorder="1" applyAlignment="1">
      <alignment horizontal="center" vertical="center"/>
    </xf>
    <xf numFmtId="0" fontId="0" fillId="10" borderId="69" xfId="0" applyFont="1" applyFill="1" applyBorder="1" applyAlignment="1">
      <alignment horizontal="center" vertical="center"/>
    </xf>
    <xf numFmtId="0" fontId="0" fillId="3" borderId="69" xfId="0" applyFont="1" applyFill="1" applyBorder="1" applyAlignment="1">
      <alignment horizontal="center" vertical="center"/>
    </xf>
    <xf numFmtId="0" fontId="0" fillId="4" borderId="68" xfId="0" applyFont="1" applyFill="1" applyBorder="1" applyAlignment="1">
      <alignment horizontal="center" vertical="center"/>
    </xf>
    <xf numFmtId="0" fontId="0" fillId="4" borderId="69" xfId="0" applyFont="1" applyFill="1" applyBorder="1" applyAlignment="1">
      <alignment horizontal="center" vertical="center"/>
    </xf>
    <xf numFmtId="0" fontId="0" fillId="10" borderId="68" xfId="0" applyFont="1" applyFill="1" applyBorder="1" applyAlignment="1">
      <alignment horizontal="center" vertical="center"/>
    </xf>
    <xf numFmtId="0" fontId="0" fillId="9" borderId="69" xfId="0" applyFont="1" applyFill="1" applyBorder="1" applyAlignment="1">
      <alignment horizontal="center" vertical="center"/>
    </xf>
    <xf numFmtId="0" fontId="0" fillId="3" borderId="68" xfId="0" applyFont="1" applyFill="1" applyBorder="1" applyAlignment="1">
      <alignment horizontal="center" vertical="center"/>
    </xf>
    <xf numFmtId="0" fontId="0" fillId="10" borderId="48" xfId="0" applyFont="1" applyFill="1" applyBorder="1" applyAlignment="1">
      <alignment horizontal="center" vertical="center"/>
    </xf>
    <xf numFmtId="0" fontId="0" fillId="10" borderId="49" xfId="0" applyFont="1" applyFill="1" applyBorder="1" applyAlignment="1">
      <alignment horizontal="center" vertical="center"/>
    </xf>
    <xf numFmtId="0" fontId="0" fillId="3" borderId="49" xfId="0" applyFont="1" applyFill="1" applyBorder="1" applyAlignment="1">
      <alignment horizontal="center" vertical="center"/>
    </xf>
    <xf numFmtId="0" fontId="0" fillId="9" borderId="49" xfId="0" applyFont="1" applyFill="1" applyBorder="1" applyAlignment="1">
      <alignment horizontal="center" vertical="center"/>
    </xf>
    <xf numFmtId="0" fontId="0" fillId="4" borderId="49" xfId="0" applyFont="1" applyFill="1" applyBorder="1" applyAlignment="1">
      <alignment horizontal="center" vertical="center"/>
    </xf>
    <xf numFmtId="0" fontId="10" fillId="6" borderId="50" xfId="0" applyFont="1" applyFill="1" applyBorder="1" applyAlignment="1">
      <alignment horizontal="center" vertical="center"/>
    </xf>
    <xf numFmtId="0" fontId="0" fillId="8" borderId="29" xfId="0" applyFont="1" applyFill="1" applyBorder="1" applyAlignment="1">
      <alignment vertical="center"/>
    </xf>
    <xf numFmtId="0" fontId="0" fillId="8" borderId="30" xfId="0" applyFont="1" applyFill="1" applyBorder="1" applyAlignment="1">
      <alignment vertical="center"/>
    </xf>
    <xf numFmtId="0" fontId="0" fillId="8" borderId="31" xfId="0" applyFont="1" applyFill="1" applyBorder="1" applyAlignment="1">
      <alignment vertical="center"/>
    </xf>
    <xf numFmtId="0" fontId="0" fillId="8" borderId="32" xfId="0" applyFont="1" applyFill="1" applyBorder="1" applyAlignment="1">
      <alignment vertical="center"/>
    </xf>
    <xf numFmtId="0" fontId="0" fillId="8" borderId="18" xfId="0" applyFont="1" applyFill="1" applyBorder="1" applyAlignment="1">
      <alignment vertical="center"/>
    </xf>
    <xf numFmtId="0" fontId="0" fillId="8" borderId="33" xfId="0" applyFont="1" applyFill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8" borderId="34" xfId="0" applyFont="1" applyFill="1" applyBorder="1" applyAlignment="1">
      <alignment vertical="center"/>
    </xf>
    <xf numFmtId="0" fontId="0" fillId="8" borderId="35" xfId="0" applyFont="1" applyFill="1" applyBorder="1" applyAlignment="1">
      <alignment vertical="center"/>
    </xf>
    <xf numFmtId="0" fontId="0" fillId="8" borderId="36" xfId="0" applyFont="1" applyFill="1" applyBorder="1" applyAlignment="1">
      <alignment vertical="center"/>
    </xf>
    <xf numFmtId="0" fontId="1" fillId="2" borderId="74" xfId="0" applyFont="1" applyFill="1" applyBorder="1" applyAlignment="1">
      <alignment horizontal="center" vertical="center"/>
    </xf>
    <xf numFmtId="0" fontId="2" fillId="2" borderId="75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7" fillId="12" borderId="76" xfId="0" applyFont="1" applyFill="1" applyBorder="1" applyAlignment="1">
      <alignment horizontal="center" vertical="center"/>
    </xf>
    <xf numFmtId="0" fontId="1" fillId="15" borderId="5" xfId="0" applyFont="1" applyFill="1" applyBorder="1" applyAlignment="1">
      <alignment horizontal="center" vertical="center"/>
    </xf>
    <xf numFmtId="0" fontId="1" fillId="15" borderId="9" xfId="0" applyFont="1" applyFill="1" applyBorder="1" applyAlignment="1">
      <alignment horizontal="center" vertical="center"/>
    </xf>
    <xf numFmtId="0" fontId="1" fillId="15" borderId="13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6" borderId="17" xfId="0" applyFont="1" applyFill="1" applyBorder="1" applyAlignment="1">
      <alignment horizontal="center" vertical="center"/>
    </xf>
    <xf numFmtId="0" fontId="4" fillId="16" borderId="3" xfId="0" applyFont="1" applyFill="1" applyBorder="1" applyAlignment="1">
      <alignment horizontal="center" vertical="center"/>
    </xf>
    <xf numFmtId="1" fontId="3" fillId="14" borderId="5" xfId="0" applyNumberFormat="1" applyFont="1" applyFill="1" applyBorder="1" applyAlignment="1">
      <alignment horizontal="center" vertical="center"/>
    </xf>
    <xf numFmtId="1" fontId="3" fillId="14" borderId="9" xfId="0" applyNumberFormat="1" applyFont="1" applyFill="1" applyBorder="1" applyAlignment="1">
      <alignment horizontal="center" vertical="center"/>
    </xf>
    <xf numFmtId="1" fontId="3" fillId="14" borderId="13" xfId="0" applyNumberFormat="1" applyFont="1" applyFill="1" applyBorder="1" applyAlignment="1">
      <alignment horizontal="center" vertical="center"/>
    </xf>
    <xf numFmtId="1" fontId="2" fillId="17" borderId="73" xfId="0" applyNumberFormat="1" applyFont="1" applyFill="1" applyBorder="1" applyAlignment="1">
      <alignment horizontal="center" vertical="center"/>
    </xf>
    <xf numFmtId="164" fontId="2" fillId="17" borderId="81" xfId="0" applyNumberFormat="1" applyFont="1" applyFill="1" applyBorder="1" applyAlignment="1">
      <alignment horizontal="center" vertical="center"/>
    </xf>
    <xf numFmtId="164" fontId="2" fillId="17" borderId="78" xfId="0" applyNumberFormat="1" applyFont="1" applyFill="1" applyBorder="1" applyAlignment="1">
      <alignment horizontal="center" vertical="center"/>
    </xf>
    <xf numFmtId="167" fontId="2" fillId="14" borderId="72" xfId="0" applyNumberFormat="1" applyFont="1" applyFill="1" applyBorder="1" applyAlignment="1">
      <alignment horizontal="center" vertical="center"/>
    </xf>
    <xf numFmtId="167" fontId="2" fillId="14" borderId="69" xfId="0" applyNumberFormat="1" applyFont="1" applyFill="1" applyBorder="1" applyAlignment="1">
      <alignment horizontal="center" vertical="center"/>
    </xf>
    <xf numFmtId="167" fontId="2" fillId="16" borderId="80" xfId="0" applyNumberFormat="1" applyFont="1" applyFill="1" applyBorder="1" applyAlignment="1">
      <alignment horizontal="center" vertical="center"/>
    </xf>
    <xf numFmtId="167" fontId="2" fillId="16" borderId="68" xfId="0" applyNumberFormat="1" applyFont="1" applyFill="1" applyBorder="1" applyAlignment="1">
      <alignment horizontal="center" vertical="center"/>
    </xf>
    <xf numFmtId="167" fontId="2" fillId="16" borderId="82" xfId="0" applyNumberFormat="1" applyFont="1" applyFill="1" applyBorder="1" applyAlignment="1">
      <alignment horizontal="center" vertical="center"/>
    </xf>
    <xf numFmtId="167" fontId="2" fillId="14" borderId="83" xfId="0" applyNumberFormat="1" applyFont="1" applyFill="1" applyBorder="1" applyAlignment="1">
      <alignment horizontal="center" vertical="center"/>
    </xf>
    <xf numFmtId="164" fontId="2" fillId="17" borderId="84" xfId="0" applyNumberFormat="1" applyFont="1" applyFill="1" applyBorder="1" applyAlignment="1">
      <alignment horizontal="center" vertical="center"/>
    </xf>
    <xf numFmtId="1" fontId="2" fillId="18" borderId="39" xfId="0" applyNumberFormat="1" applyFont="1" applyFill="1" applyBorder="1" applyAlignment="1">
      <alignment horizontal="center" vertical="center"/>
    </xf>
    <xf numFmtId="1" fontId="2" fillId="18" borderId="41" xfId="0" applyNumberFormat="1" applyFont="1" applyFill="1" applyBorder="1" applyAlignment="1">
      <alignment horizontal="center" vertical="center"/>
    </xf>
    <xf numFmtId="1" fontId="2" fillId="18" borderId="27" xfId="0" applyNumberFormat="1" applyFont="1" applyFill="1" applyBorder="1" applyAlignment="1">
      <alignment horizontal="center" vertical="center"/>
    </xf>
    <xf numFmtId="166" fontId="12" fillId="11" borderId="51" xfId="0" applyNumberFormat="1" applyFont="1" applyFill="1" applyBorder="1" applyAlignment="1">
      <alignment vertical="center"/>
    </xf>
    <xf numFmtId="166" fontId="12" fillId="11" borderId="52" xfId="0" applyNumberFormat="1" applyFont="1" applyFill="1" applyBorder="1" applyAlignment="1">
      <alignment vertical="center"/>
    </xf>
    <xf numFmtId="166" fontId="12" fillId="11" borderId="53" xfId="0" applyNumberFormat="1" applyFont="1" applyFill="1" applyBorder="1" applyAlignment="1">
      <alignment vertical="center"/>
    </xf>
    <xf numFmtId="0" fontId="1" fillId="2" borderId="37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66" xfId="0" applyFont="1" applyFill="1" applyBorder="1" applyAlignment="1">
      <alignment horizontal="center" vertical="center" wrapText="1"/>
    </xf>
    <xf numFmtId="0" fontId="7" fillId="12" borderId="42" xfId="0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11" fillId="19" borderId="43" xfId="0" applyFont="1" applyFill="1" applyBorder="1" applyAlignment="1">
      <alignment horizontal="center" vertical="center"/>
    </xf>
    <xf numFmtId="0" fontId="11" fillId="20" borderId="43" xfId="0" applyFont="1" applyFill="1" applyBorder="1" applyAlignment="1">
      <alignment horizontal="center" vertical="center"/>
    </xf>
    <xf numFmtId="0" fontId="4" fillId="16" borderId="85" xfId="0" applyFont="1" applyFill="1" applyBorder="1" applyAlignment="1">
      <alignment horizontal="center" vertical="center"/>
    </xf>
    <xf numFmtId="0" fontId="4" fillId="16" borderId="86" xfId="0" applyFont="1" applyFill="1" applyBorder="1" applyAlignment="1">
      <alignment horizontal="center" vertical="center"/>
    </xf>
    <xf numFmtId="1" fontId="0" fillId="13" borderId="87" xfId="0" applyNumberFormat="1" applyFont="1" applyFill="1" applyBorder="1" applyAlignment="1">
      <alignment horizontal="center" vertical="center"/>
    </xf>
    <xf numFmtId="1" fontId="2" fillId="12" borderId="88" xfId="0" applyNumberFormat="1" applyFont="1" applyFill="1" applyBorder="1" applyAlignment="1">
      <alignment horizontal="center" vertical="center"/>
    </xf>
    <xf numFmtId="0" fontId="0" fillId="5" borderId="29" xfId="0" applyFont="1" applyFill="1" applyBorder="1" applyAlignment="1">
      <alignment horizontal="center" vertical="center"/>
    </xf>
    <xf numFmtId="0" fontId="0" fillId="5" borderId="30" xfId="0" applyFont="1" applyFill="1" applyBorder="1" applyAlignment="1">
      <alignment horizontal="center" vertical="center"/>
    </xf>
    <xf numFmtId="0" fontId="0" fillId="5" borderId="31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5" borderId="33" xfId="0" applyFont="1" applyFill="1" applyBorder="1" applyAlignment="1">
      <alignment horizontal="center" vertical="center"/>
    </xf>
    <xf numFmtId="0" fontId="0" fillId="5" borderId="34" xfId="0" applyFont="1" applyFill="1" applyBorder="1" applyAlignment="1">
      <alignment horizontal="center" vertical="center"/>
    </xf>
    <xf numFmtId="0" fontId="0" fillId="5" borderId="35" xfId="0" applyFont="1" applyFill="1" applyBorder="1" applyAlignment="1">
      <alignment horizontal="center" vertical="center"/>
    </xf>
    <xf numFmtId="0" fontId="0" fillId="5" borderId="36" xfId="0" applyFont="1" applyFill="1" applyBorder="1" applyAlignment="1">
      <alignment horizontal="center" vertical="center"/>
    </xf>
    <xf numFmtId="165" fontId="1" fillId="14" borderId="76" xfId="0" applyNumberFormat="1" applyFont="1" applyFill="1" applyBorder="1" applyAlignment="1"/>
    <xf numFmtId="165" fontId="1" fillId="14" borderId="43" xfId="0" applyNumberFormat="1" applyFont="1" applyFill="1" applyBorder="1" applyAlignment="1"/>
    <xf numFmtId="165" fontId="1" fillId="14" borderId="44" xfId="0" applyNumberFormat="1" applyFont="1" applyFill="1" applyBorder="1" applyAlignment="1"/>
    <xf numFmtId="0" fontId="6" fillId="11" borderId="22" xfId="0" applyFont="1" applyFill="1" applyBorder="1" applyAlignment="1">
      <alignment horizontal="center" vertical="center" wrapText="1"/>
    </xf>
    <xf numFmtId="0" fontId="6" fillId="11" borderId="89" xfId="0" applyFont="1" applyFill="1" applyBorder="1" applyAlignment="1">
      <alignment horizontal="center" vertical="center" wrapText="1"/>
    </xf>
    <xf numFmtId="0" fontId="1" fillId="17" borderId="39" xfId="0" applyFont="1" applyFill="1" applyBorder="1" applyAlignment="1">
      <alignment horizontal="center" vertical="center" wrapText="1"/>
    </xf>
    <xf numFmtId="0" fontId="0" fillId="4" borderId="94" xfId="0" applyFont="1" applyFill="1" applyBorder="1" applyAlignment="1">
      <alignment horizontal="center" vertical="center"/>
    </xf>
    <xf numFmtId="0" fontId="0" fillId="10" borderId="95" xfId="0" applyFont="1" applyFill="1" applyBorder="1" applyAlignment="1">
      <alignment horizontal="center" vertical="center"/>
    </xf>
    <xf numFmtId="0" fontId="0" fillId="10" borderId="94" xfId="0" applyFont="1" applyFill="1" applyBorder="1" applyAlignment="1">
      <alignment horizontal="center" vertical="center"/>
    </xf>
    <xf numFmtId="0" fontId="0" fillId="3" borderId="94" xfId="0" applyFont="1" applyFill="1" applyBorder="1" applyAlignment="1">
      <alignment horizontal="center" vertical="center"/>
    </xf>
    <xf numFmtId="0" fontId="0" fillId="9" borderId="94" xfId="0" applyFont="1" applyFill="1" applyBorder="1" applyAlignment="1">
      <alignment horizontal="center" vertical="center"/>
    </xf>
    <xf numFmtId="0" fontId="10" fillId="6" borderId="96" xfId="0" applyFont="1" applyFill="1" applyBorder="1" applyAlignment="1">
      <alignment horizontal="center" vertical="center"/>
    </xf>
    <xf numFmtId="166" fontId="0" fillId="0" borderId="92" xfId="0" applyNumberFormat="1" applyFont="1" applyBorder="1" applyAlignment="1"/>
    <xf numFmtId="166" fontId="0" fillId="0" borderId="70" xfId="0" applyNumberFormat="1" applyFont="1" applyBorder="1" applyAlignment="1"/>
    <xf numFmtId="166" fontId="0" fillId="0" borderId="93" xfId="0" applyNumberFormat="1" applyFont="1" applyBorder="1" applyAlignment="1"/>
    <xf numFmtId="166" fontId="0" fillId="0" borderId="66" xfId="0" applyNumberFormat="1" applyFont="1" applyBorder="1" applyAlignment="1"/>
    <xf numFmtId="166" fontId="0" fillId="22" borderId="22" xfId="0" applyNumberFormat="1" applyFont="1" applyFill="1" applyBorder="1" applyAlignment="1"/>
    <xf numFmtId="0" fontId="1" fillId="21" borderId="22" xfId="0" applyFont="1" applyFill="1" applyBorder="1" applyAlignment="1">
      <alignment horizontal="center" vertical="center" wrapText="1"/>
    </xf>
    <xf numFmtId="0" fontId="1" fillId="19" borderId="22" xfId="0" applyFont="1" applyFill="1" applyBorder="1" applyAlignment="1">
      <alignment horizontal="center" vertical="center" wrapText="1"/>
    </xf>
    <xf numFmtId="166" fontId="0" fillId="23" borderId="70" xfId="0" applyNumberFormat="1" applyFont="1" applyFill="1" applyBorder="1" applyAlignment="1"/>
    <xf numFmtId="0" fontId="1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18" xfId="1" applyFont="1" applyFill="1" applyBorder="1" applyAlignment="1">
      <alignment horizontal="center" vertical="center"/>
    </xf>
    <xf numFmtId="0" fontId="0" fillId="0" borderId="18" xfId="1" applyFont="1" applyAlignment="1"/>
    <xf numFmtId="0" fontId="1" fillId="0" borderId="5" xfId="1" applyFont="1" applyBorder="1" applyAlignment="1">
      <alignment horizontal="center" vertical="center"/>
    </xf>
    <xf numFmtId="0" fontId="0" fillId="6" borderId="19" xfId="1" applyFont="1" applyFill="1" applyBorder="1" applyAlignment="1">
      <alignment horizontal="center" vertical="center"/>
    </xf>
    <xf numFmtId="0" fontId="0" fillId="4" borderId="7" xfId="1" applyFont="1" applyFill="1" applyBorder="1" applyAlignment="1">
      <alignment horizontal="center" vertical="center"/>
    </xf>
    <xf numFmtId="0" fontId="0" fillId="3" borderId="7" xfId="1" applyFont="1" applyFill="1" applyBorder="1" applyAlignment="1">
      <alignment horizontal="center" vertical="center"/>
    </xf>
    <xf numFmtId="0" fontId="0" fillId="3" borderId="8" xfId="1" applyFont="1" applyFill="1" applyBorder="1" applyAlignment="1">
      <alignment horizontal="center" vertical="center"/>
    </xf>
    <xf numFmtId="1" fontId="3" fillId="0" borderId="5" xfId="1" applyNumberFormat="1" applyFont="1" applyBorder="1" applyAlignment="1">
      <alignment horizontal="center" vertical="center"/>
    </xf>
    <xf numFmtId="1" fontId="2" fillId="0" borderId="5" xfId="1" applyNumberFormat="1" applyFont="1" applyBorder="1" applyAlignment="1">
      <alignment horizontal="center" vertical="center"/>
    </xf>
    <xf numFmtId="1" fontId="2" fillId="0" borderId="18" xfId="1" applyNumberFormat="1" applyFont="1" applyBorder="1" applyAlignment="1">
      <alignment horizontal="center" vertical="center"/>
    </xf>
    <xf numFmtId="0" fontId="1" fillId="2" borderId="37" xfId="1" applyFont="1" applyFill="1" applyBorder="1" applyAlignment="1">
      <alignment horizontal="center" vertical="center" wrapText="1"/>
    </xf>
    <xf numFmtId="0" fontId="2" fillId="2" borderId="56" xfId="1" applyFont="1" applyFill="1" applyBorder="1" applyAlignment="1">
      <alignment horizontal="center" vertical="center"/>
    </xf>
    <xf numFmtId="0" fontId="2" fillId="2" borderId="57" xfId="1" applyFont="1" applyFill="1" applyBorder="1" applyAlignment="1">
      <alignment horizontal="center" vertical="center"/>
    </xf>
    <xf numFmtId="0" fontId="2" fillId="2" borderId="58" xfId="1" applyFont="1" applyFill="1" applyBorder="1" applyAlignment="1">
      <alignment horizontal="center" vertical="center"/>
    </xf>
    <xf numFmtId="0" fontId="1" fillId="0" borderId="9" xfId="1" applyFont="1" applyBorder="1" applyAlignment="1">
      <alignment horizontal="center" vertical="center"/>
    </xf>
    <xf numFmtId="0" fontId="0" fillId="3" borderId="10" xfId="1" applyFont="1" applyFill="1" applyBorder="1" applyAlignment="1">
      <alignment horizontal="center" vertical="center"/>
    </xf>
    <xf numFmtId="0" fontId="0" fillId="6" borderId="11" xfId="1" applyFont="1" applyFill="1" applyBorder="1" applyAlignment="1">
      <alignment horizontal="center" vertical="center"/>
    </xf>
    <xf numFmtId="0" fontId="0" fillId="4" borderId="11" xfId="1" applyFont="1" applyFill="1" applyBorder="1" applyAlignment="1">
      <alignment horizontal="center" vertical="center"/>
    </xf>
    <xf numFmtId="0" fontId="0" fillId="3" borderId="11" xfId="1" applyFont="1" applyFill="1" applyBorder="1" applyAlignment="1">
      <alignment horizontal="center" vertical="center"/>
    </xf>
    <xf numFmtId="0" fontId="0" fillId="3" borderId="12" xfId="1" applyFont="1" applyFill="1" applyBorder="1" applyAlignment="1">
      <alignment horizontal="center" vertical="center"/>
    </xf>
    <xf numFmtId="1" fontId="3" fillId="0" borderId="9" xfId="1" applyNumberFormat="1" applyFont="1" applyBorder="1" applyAlignment="1">
      <alignment horizontal="center" vertical="center"/>
    </xf>
    <xf numFmtId="0" fontId="2" fillId="2" borderId="97" xfId="1" applyFont="1" applyFill="1" applyBorder="1" applyAlignment="1">
      <alignment horizontal="center" vertical="center" wrapText="1"/>
    </xf>
    <xf numFmtId="0" fontId="10" fillId="24" borderId="45" xfId="1" applyFont="1" applyFill="1" applyBorder="1" applyAlignment="1">
      <alignment horizontal="center" vertical="center"/>
    </xf>
    <xf numFmtId="0" fontId="0" fillId="0" borderId="46" xfId="1" applyFont="1" applyFill="1" applyBorder="1" applyAlignment="1">
      <alignment horizontal="center" vertical="center"/>
    </xf>
    <xf numFmtId="0" fontId="0" fillId="0" borderId="98" xfId="1" applyFont="1" applyFill="1" applyBorder="1" applyAlignment="1">
      <alignment horizontal="center" vertical="center"/>
    </xf>
    <xf numFmtId="0" fontId="2" fillId="2" borderId="99" xfId="1" applyFont="1" applyFill="1" applyBorder="1" applyAlignment="1">
      <alignment horizontal="center" vertical="center" wrapText="1"/>
    </xf>
    <xf numFmtId="0" fontId="0" fillId="0" borderId="68" xfId="1" applyFont="1" applyFill="1" applyBorder="1" applyAlignment="1">
      <alignment horizontal="center" vertical="center"/>
    </xf>
    <xf numFmtId="0" fontId="10" fillId="24" borderId="38" xfId="1" applyFont="1" applyFill="1" applyBorder="1" applyAlignment="1">
      <alignment horizontal="center" vertical="center"/>
    </xf>
    <xf numFmtId="0" fontId="0" fillId="0" borderId="38" xfId="1" applyFont="1" applyFill="1" applyBorder="1" applyAlignment="1">
      <alignment horizontal="center" vertical="center"/>
    </xf>
    <xf numFmtId="0" fontId="0" fillId="0" borderId="100" xfId="1" applyFont="1" applyFill="1" applyBorder="1" applyAlignment="1">
      <alignment horizontal="center" vertical="center"/>
    </xf>
    <xf numFmtId="0" fontId="0" fillId="4" borderId="10" xfId="1" applyFont="1" applyFill="1" applyBorder="1" applyAlignment="1">
      <alignment horizontal="center" vertical="center"/>
    </xf>
    <xf numFmtId="0" fontId="0" fillId="4" borderId="12" xfId="1" applyFont="1" applyFill="1" applyBorder="1" applyAlignment="1">
      <alignment horizontal="center" vertical="center"/>
    </xf>
    <xf numFmtId="0" fontId="1" fillId="0" borderId="13" xfId="1" applyFont="1" applyBorder="1" applyAlignment="1">
      <alignment horizontal="center" vertical="center"/>
    </xf>
    <xf numFmtId="0" fontId="0" fillId="3" borderId="14" xfId="1" applyFont="1" applyFill="1" applyBorder="1" applyAlignment="1">
      <alignment horizontal="center" vertical="center"/>
    </xf>
    <xf numFmtId="0" fontId="0" fillId="3" borderId="15" xfId="1" applyFont="1" applyFill="1" applyBorder="1" applyAlignment="1">
      <alignment horizontal="center" vertical="center"/>
    </xf>
    <xf numFmtId="0" fontId="0" fillId="4" borderId="15" xfId="1" applyFont="1" applyFill="1" applyBorder="1" applyAlignment="1">
      <alignment horizontal="center" vertical="center"/>
    </xf>
    <xf numFmtId="0" fontId="0" fillId="6" borderId="16" xfId="1" applyFont="1" applyFill="1" applyBorder="1" applyAlignment="1">
      <alignment horizontal="center" vertical="center"/>
    </xf>
    <xf numFmtId="1" fontId="3" fillId="0" borderId="13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2" fillId="2" borderId="34" xfId="1" applyFont="1" applyFill="1" applyBorder="1" applyAlignment="1">
      <alignment horizontal="center" vertical="center" wrapText="1"/>
    </xf>
    <xf numFmtId="0" fontId="0" fillId="0" borderId="48" xfId="1" applyFont="1" applyFill="1" applyBorder="1" applyAlignment="1">
      <alignment horizontal="center" vertical="center"/>
    </xf>
    <xf numFmtId="0" fontId="0" fillId="0" borderId="49" xfId="1" applyFont="1" applyFill="1" applyBorder="1" applyAlignment="1">
      <alignment horizontal="center" vertical="center"/>
    </xf>
    <xf numFmtId="0" fontId="10" fillId="24" borderId="101" xfId="1" applyFont="1" applyFill="1" applyBorder="1" applyAlignment="1">
      <alignment horizontal="center" vertical="center"/>
    </xf>
    <xf numFmtId="0" fontId="1" fillId="5" borderId="18" xfId="1" applyFont="1" applyFill="1" applyBorder="1" applyAlignment="1">
      <alignment horizontal="center" vertical="center"/>
    </xf>
    <xf numFmtId="0" fontId="0" fillId="5" borderId="18" xfId="1" applyFont="1" applyFill="1" applyBorder="1" applyAlignment="1">
      <alignment horizontal="center" vertical="center"/>
    </xf>
    <xf numFmtId="0" fontId="7" fillId="12" borderId="42" xfId="1" applyFont="1" applyFill="1" applyBorder="1" applyAlignment="1">
      <alignment horizontal="center" vertical="center" wrapText="1"/>
    </xf>
    <xf numFmtId="0" fontId="11" fillId="12" borderId="67" xfId="1" applyFont="1" applyFill="1" applyBorder="1" applyAlignment="1">
      <alignment horizontal="center" vertical="center"/>
    </xf>
    <xf numFmtId="0" fontId="11" fillId="19" borderId="43" xfId="1" applyFont="1" applyFill="1" applyBorder="1" applyAlignment="1">
      <alignment horizontal="center" vertical="center"/>
    </xf>
    <xf numFmtId="0" fontId="11" fillId="20" borderId="67" xfId="1" applyFont="1" applyFill="1" applyBorder="1" applyAlignment="1">
      <alignment horizontal="center" vertical="center"/>
    </xf>
    <xf numFmtId="0" fontId="11" fillId="12" borderId="91" xfId="1" applyFont="1" applyFill="1" applyBorder="1" applyAlignment="1">
      <alignment horizontal="center" vertical="center"/>
    </xf>
    <xf numFmtId="0" fontId="1" fillId="21" borderId="22" xfId="1" applyFont="1" applyFill="1" applyBorder="1" applyAlignment="1">
      <alignment horizontal="center" vertical="center" wrapText="1"/>
    </xf>
    <xf numFmtId="0" fontId="1" fillId="19" borderId="22" xfId="1" applyFont="1" applyFill="1" applyBorder="1" applyAlignment="1">
      <alignment horizontal="center" vertical="center" wrapText="1"/>
    </xf>
    <xf numFmtId="0" fontId="1" fillId="11" borderId="22" xfId="1" applyFont="1" applyFill="1" applyBorder="1" applyAlignment="1">
      <alignment horizontal="center" vertical="center" wrapText="1"/>
    </xf>
    <xf numFmtId="0" fontId="1" fillId="11" borderId="89" xfId="1" applyFont="1" applyFill="1" applyBorder="1" applyAlignment="1">
      <alignment horizontal="center" vertical="center" wrapText="1"/>
    </xf>
    <xf numFmtId="0" fontId="1" fillId="17" borderId="39" xfId="1" applyFont="1" applyFill="1" applyBorder="1" applyAlignment="1">
      <alignment horizontal="center" vertical="center" wrapText="1"/>
    </xf>
    <xf numFmtId="0" fontId="0" fillId="0" borderId="18" xfId="1" applyFont="1" applyAlignment="1">
      <alignment wrapText="1"/>
    </xf>
    <xf numFmtId="0" fontId="1" fillId="0" borderId="18" xfId="1" applyFont="1" applyAlignment="1">
      <alignment horizontal="center" vertical="center"/>
    </xf>
    <xf numFmtId="0" fontId="0" fillId="0" borderId="18" xfId="1" applyFont="1" applyAlignment="1">
      <alignment horizontal="center" vertical="center"/>
    </xf>
    <xf numFmtId="166" fontId="0" fillId="0" borderId="102" xfId="1" applyNumberFormat="1" applyFont="1" applyFill="1" applyBorder="1" applyAlignment="1">
      <alignment horizontal="center"/>
    </xf>
    <xf numFmtId="166" fontId="0" fillId="0" borderId="103" xfId="1" applyNumberFormat="1" applyFont="1" applyFill="1" applyBorder="1" applyAlignment="1">
      <alignment horizontal="center"/>
    </xf>
    <xf numFmtId="166" fontId="0" fillId="0" borderId="104" xfId="1" applyNumberFormat="1" applyFont="1" applyFill="1" applyBorder="1" applyAlignment="1">
      <alignment horizontal="center"/>
    </xf>
    <xf numFmtId="2" fontId="17" fillId="12" borderId="92" xfId="1" applyNumberFormat="1" applyFont="1" applyFill="1" applyBorder="1" applyAlignment="1">
      <alignment wrapText="1"/>
    </xf>
    <xf numFmtId="2" fontId="17" fillId="14" borderId="77" xfId="1" applyNumberFormat="1" applyFont="1" applyFill="1" applyBorder="1" applyAlignment="1">
      <alignment vertical="center" wrapText="1"/>
    </xf>
    <xf numFmtId="2" fontId="17" fillId="12" borderId="70" xfId="1" applyNumberFormat="1" applyFont="1" applyFill="1" applyBorder="1" applyAlignment="1">
      <alignment wrapText="1"/>
    </xf>
    <xf numFmtId="2" fontId="17" fillId="14" borderId="78" xfId="1" applyNumberFormat="1" applyFont="1" applyFill="1" applyBorder="1" applyAlignment="1">
      <alignment vertical="center" wrapText="1"/>
    </xf>
    <xf numFmtId="2" fontId="17" fillId="12" borderId="71" xfId="1" applyNumberFormat="1" applyFont="1" applyFill="1" applyBorder="1" applyAlignment="1">
      <alignment wrapText="1"/>
    </xf>
    <xf numFmtId="2" fontId="17" fillId="14" borderId="79" xfId="1" applyNumberFormat="1" applyFont="1" applyFill="1" applyBorder="1" applyAlignment="1">
      <alignment vertical="center" wrapText="1"/>
    </xf>
    <xf numFmtId="2" fontId="17" fillId="14" borderId="39" xfId="1" applyNumberFormat="1" applyFont="1" applyFill="1" applyBorder="1" applyAlignment="1"/>
    <xf numFmtId="2" fontId="17" fillId="14" borderId="40" xfId="1" applyNumberFormat="1" applyFont="1" applyFill="1" applyBorder="1" applyAlignment="1"/>
    <xf numFmtId="2" fontId="17" fillId="14" borderId="41" xfId="1" applyNumberFormat="1" applyFont="1" applyFill="1" applyBorder="1" applyAlignment="1"/>
    <xf numFmtId="0" fontId="2" fillId="2" borderId="92" xfId="0" applyFont="1" applyFill="1" applyBorder="1" applyAlignment="1">
      <alignment horizontal="center" vertical="center" wrapText="1"/>
    </xf>
    <xf numFmtId="0" fontId="2" fillId="2" borderId="71" xfId="0" applyFont="1" applyFill="1" applyBorder="1" applyAlignment="1">
      <alignment horizontal="center" vertical="center" wrapText="1"/>
    </xf>
    <xf numFmtId="165" fontId="15" fillId="14" borderId="42" xfId="0" applyNumberFormat="1" applyFont="1" applyFill="1" applyBorder="1" applyAlignment="1">
      <alignment horizontal="center"/>
    </xf>
    <xf numFmtId="0" fontId="15" fillId="14" borderId="43" xfId="0" applyFont="1" applyFill="1" applyBorder="1" applyAlignment="1">
      <alignment horizontal="center"/>
    </xf>
    <xf numFmtId="0" fontId="15" fillId="14" borderId="44" xfId="0" applyFont="1" applyFill="1" applyBorder="1" applyAlignment="1">
      <alignment horizontal="center"/>
    </xf>
    <xf numFmtId="0" fontId="6" fillId="14" borderId="92" xfId="0" applyFont="1" applyFill="1" applyBorder="1" applyAlignment="1">
      <alignment horizontal="center" vertical="center" wrapText="1"/>
    </xf>
    <xf numFmtId="0" fontId="6" fillId="14" borderId="93" xfId="0" applyFont="1" applyFill="1" applyBorder="1" applyAlignment="1">
      <alignment horizontal="center" vertical="center" wrapText="1"/>
    </xf>
    <xf numFmtId="168" fontId="15" fillId="17" borderId="40" xfId="0" applyNumberFormat="1" applyFont="1" applyFill="1" applyBorder="1" applyAlignment="1">
      <alignment horizontal="center" vertical="center"/>
    </xf>
    <xf numFmtId="168" fontId="15" fillId="17" borderId="41" xfId="0" applyNumberFormat="1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horizontal="center" vertical="center"/>
    </xf>
    <xf numFmtId="0" fontId="8" fillId="7" borderId="26" xfId="0" applyFont="1" applyFill="1" applyBorder="1" applyAlignment="1">
      <alignment horizontal="center" vertical="center"/>
    </xf>
    <xf numFmtId="0" fontId="11" fillId="20" borderId="54" xfId="0" applyFont="1" applyFill="1" applyBorder="1" applyAlignment="1">
      <alignment horizontal="center"/>
    </xf>
    <xf numFmtId="0" fontId="11" fillId="20" borderId="40" xfId="0" applyFont="1" applyFill="1" applyBorder="1" applyAlignment="1">
      <alignment horizontal="center"/>
    </xf>
    <xf numFmtId="0" fontId="11" fillId="20" borderId="41" xfId="0" applyFont="1" applyFill="1" applyBorder="1" applyAlignment="1">
      <alignment horizontal="center"/>
    </xf>
    <xf numFmtId="0" fontId="11" fillId="19" borderId="55" xfId="0" applyFont="1" applyFill="1" applyBorder="1" applyAlignment="1">
      <alignment horizontal="center"/>
    </xf>
    <xf numFmtId="0" fontId="11" fillId="19" borderId="52" xfId="0" applyFont="1" applyFill="1" applyBorder="1" applyAlignment="1">
      <alignment horizontal="center"/>
    </xf>
    <xf numFmtId="0" fontId="11" fillId="19" borderId="53" xfId="0" applyFont="1" applyFill="1" applyBorder="1" applyAlignment="1">
      <alignment horizontal="center"/>
    </xf>
    <xf numFmtId="0" fontId="11" fillId="11" borderId="55" xfId="0" applyFont="1" applyFill="1" applyBorder="1" applyAlignment="1">
      <alignment horizontal="center"/>
    </xf>
    <xf numFmtId="0" fontId="11" fillId="11" borderId="52" xfId="0" applyFont="1" applyFill="1" applyBorder="1" applyAlignment="1">
      <alignment horizontal="center"/>
    </xf>
    <xf numFmtId="0" fontId="11" fillId="11" borderId="53" xfId="0" applyFont="1" applyFill="1" applyBorder="1" applyAlignment="1">
      <alignment horizontal="center"/>
    </xf>
    <xf numFmtId="0" fontId="11" fillId="11" borderId="90" xfId="0" applyFont="1" applyFill="1" applyBorder="1" applyAlignment="1">
      <alignment horizontal="center"/>
    </xf>
    <xf numFmtId="0" fontId="11" fillId="11" borderId="67" xfId="0" applyFont="1" applyFill="1" applyBorder="1" applyAlignment="1">
      <alignment horizontal="center"/>
    </xf>
    <xf numFmtId="0" fontId="11" fillId="11" borderId="91" xfId="0" applyFont="1" applyFill="1" applyBorder="1" applyAlignment="1">
      <alignment horizontal="center"/>
    </xf>
    <xf numFmtId="165" fontId="11" fillId="11" borderId="55" xfId="0" applyNumberFormat="1" applyFont="1" applyFill="1" applyBorder="1" applyAlignment="1">
      <alignment horizontal="center" vertical="center"/>
    </xf>
    <xf numFmtId="0" fontId="11" fillId="11" borderId="52" xfId="0" applyFont="1" applyFill="1" applyBorder="1" applyAlignment="1">
      <alignment horizontal="center" vertical="center"/>
    </xf>
    <xf numFmtId="0" fontId="11" fillId="11" borderId="53" xfId="0" applyFont="1" applyFill="1" applyBorder="1" applyAlignment="1">
      <alignment horizontal="center" vertical="center"/>
    </xf>
    <xf numFmtId="0" fontId="6" fillId="11" borderId="77" xfId="0" applyFont="1" applyFill="1" applyBorder="1" applyAlignment="1">
      <alignment horizontal="center" vertical="center" wrapText="1"/>
    </xf>
    <xf numFmtId="0" fontId="6" fillId="11" borderId="70" xfId="0" applyFont="1" applyFill="1" applyBorder="1" applyAlignment="1">
      <alignment horizontal="center" vertical="center" wrapText="1"/>
    </xf>
    <xf numFmtId="0" fontId="6" fillId="11" borderId="71" xfId="0" applyFont="1" applyFill="1" applyBorder="1" applyAlignment="1">
      <alignment horizontal="center" vertical="center" wrapText="1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13" fillId="15" borderId="25" xfId="0" applyFont="1" applyFill="1" applyBorder="1" applyAlignment="1">
      <alignment horizontal="center" vertical="center"/>
    </xf>
    <xf numFmtId="0" fontId="13" fillId="15" borderId="26" xfId="0" applyFont="1" applyFill="1" applyBorder="1" applyAlignment="1">
      <alignment horizontal="center" vertical="center"/>
    </xf>
    <xf numFmtId="0" fontId="13" fillId="15" borderId="27" xfId="0" applyFont="1" applyFill="1" applyBorder="1" applyAlignment="1">
      <alignment horizontal="center" vertical="center"/>
    </xf>
    <xf numFmtId="0" fontId="5" fillId="15" borderId="45" xfId="0" applyFont="1" applyFill="1" applyBorder="1" applyAlignment="1">
      <alignment horizontal="center" vertical="center" wrapText="1"/>
    </xf>
    <xf numFmtId="0" fontId="5" fillId="15" borderId="48" xfId="0" applyFont="1" applyFill="1" applyBorder="1" applyAlignment="1">
      <alignment horizontal="center" vertical="center" wrapText="1"/>
    </xf>
    <xf numFmtId="0" fontId="5" fillId="15" borderId="47" xfId="0" applyFont="1" applyFill="1" applyBorder="1" applyAlignment="1">
      <alignment horizontal="center" vertical="center" wrapText="1"/>
    </xf>
    <xf numFmtId="0" fontId="5" fillId="15" borderId="50" xfId="0" applyFont="1" applyFill="1" applyBorder="1" applyAlignment="1">
      <alignment horizontal="center" vertical="center" wrapText="1"/>
    </xf>
    <xf numFmtId="0" fontId="5" fillId="15" borderId="77" xfId="0" applyFont="1" applyFill="1" applyBorder="1" applyAlignment="1">
      <alignment horizontal="center" vertical="center" wrapText="1"/>
    </xf>
    <xf numFmtId="0" fontId="5" fillId="15" borderId="79" xfId="0" applyFont="1" applyFill="1" applyBorder="1" applyAlignment="1">
      <alignment horizontal="center" vertical="center" wrapText="1"/>
    </xf>
    <xf numFmtId="0" fontId="11" fillId="11" borderId="39" xfId="0" applyFont="1" applyFill="1" applyBorder="1" applyAlignment="1">
      <alignment horizontal="center" vertical="center"/>
    </xf>
    <xf numFmtId="0" fontId="11" fillId="11" borderId="40" xfId="0" applyFont="1" applyFill="1" applyBorder="1" applyAlignment="1">
      <alignment horizontal="center" vertical="center"/>
    </xf>
    <xf numFmtId="0" fontId="11" fillId="11" borderId="41" xfId="0" applyFont="1" applyFill="1" applyBorder="1" applyAlignment="1">
      <alignment horizontal="center" vertical="center"/>
    </xf>
    <xf numFmtId="2" fontId="17" fillId="17" borderId="77" xfId="1" applyNumberFormat="1" applyFont="1" applyFill="1" applyBorder="1" applyAlignment="1">
      <alignment horizontal="center" vertical="center" wrapText="1"/>
    </xf>
    <xf numFmtId="2" fontId="17" fillId="17" borderId="78" xfId="1" applyNumberFormat="1" applyFont="1" applyFill="1" applyBorder="1" applyAlignment="1">
      <alignment horizontal="center" vertical="center" wrapText="1"/>
    </xf>
    <xf numFmtId="2" fontId="17" fillId="17" borderId="79" xfId="1" applyNumberFormat="1" applyFont="1" applyFill="1" applyBorder="1" applyAlignment="1">
      <alignment horizontal="center" vertical="center" wrapText="1"/>
    </xf>
    <xf numFmtId="0" fontId="1" fillId="17" borderId="31" xfId="1" applyFont="1" applyFill="1" applyBorder="1" applyAlignment="1">
      <alignment horizontal="center" vertical="center" wrapText="1"/>
    </xf>
    <xf numFmtId="0" fontId="1" fillId="17" borderId="36" xfId="1" applyFont="1" applyFill="1" applyBorder="1" applyAlignment="1">
      <alignment horizontal="center" vertical="center" wrapText="1"/>
    </xf>
    <xf numFmtId="2" fontId="7" fillId="11" borderId="77" xfId="1" applyNumberFormat="1" applyFont="1" applyFill="1" applyBorder="1" applyAlignment="1">
      <alignment horizontal="center" vertical="center" wrapText="1"/>
    </xf>
    <xf numFmtId="2" fontId="7" fillId="11" borderId="78" xfId="1" applyNumberFormat="1" applyFont="1" applyFill="1" applyBorder="1" applyAlignment="1">
      <alignment horizontal="center" vertical="center" wrapText="1"/>
    </xf>
    <xf numFmtId="2" fontId="7" fillId="11" borderId="79" xfId="1" applyNumberFormat="1" applyFont="1" applyFill="1" applyBorder="1" applyAlignment="1">
      <alignment horizontal="center" vertical="center" wrapText="1"/>
    </xf>
    <xf numFmtId="0" fontId="7" fillId="12" borderId="89" xfId="1" applyFont="1" applyFill="1" applyBorder="1" applyAlignment="1">
      <alignment horizontal="center" vertical="center" wrapText="1"/>
    </xf>
    <xf numFmtId="0" fontId="7" fillId="12" borderId="66" xfId="1" applyFont="1" applyFill="1" applyBorder="1" applyAlignment="1">
      <alignment horizontal="center" vertical="center" wrapText="1"/>
    </xf>
    <xf numFmtId="0" fontId="1" fillId="21" borderId="31" xfId="1" applyFont="1" applyFill="1" applyBorder="1" applyAlignment="1">
      <alignment horizontal="center" vertical="center" wrapText="1"/>
    </xf>
    <xf numFmtId="0" fontId="1" fillId="21" borderId="36" xfId="1" applyFont="1" applyFill="1" applyBorder="1" applyAlignment="1">
      <alignment horizontal="center" vertical="center" wrapText="1"/>
    </xf>
    <xf numFmtId="0" fontId="1" fillId="19" borderId="31" xfId="1" applyFont="1" applyFill="1" applyBorder="1" applyAlignment="1">
      <alignment horizontal="center" vertical="center" wrapText="1"/>
    </xf>
    <xf numFmtId="0" fontId="1" fillId="19" borderId="36" xfId="1" applyFont="1" applyFill="1" applyBorder="1" applyAlignment="1">
      <alignment horizontal="center" vertical="center" wrapText="1"/>
    </xf>
    <xf numFmtId="0" fontId="1" fillId="11" borderId="31" xfId="1" applyFont="1" applyFill="1" applyBorder="1" applyAlignment="1">
      <alignment horizontal="center" vertical="center" wrapText="1"/>
    </xf>
    <xf numFmtId="0" fontId="1" fillId="11" borderId="36" xfId="1" applyFont="1" applyFill="1" applyBorder="1" applyAlignment="1">
      <alignment horizontal="center" vertical="center" wrapText="1"/>
    </xf>
    <xf numFmtId="2" fontId="17" fillId="14" borderId="77" xfId="1" applyNumberFormat="1" applyFont="1" applyFill="1" applyBorder="1" applyAlignment="1">
      <alignment horizontal="center" vertical="center" wrapText="1"/>
    </xf>
    <xf numFmtId="2" fontId="17" fillId="14" borderId="78" xfId="1" applyNumberFormat="1" applyFont="1" applyFill="1" applyBorder="1" applyAlignment="1">
      <alignment horizontal="center" vertical="center" wrapText="1"/>
    </xf>
    <xf numFmtId="2" fontId="17" fillId="14" borderId="79" xfId="1" applyNumberFormat="1" applyFont="1" applyFill="1" applyBorder="1" applyAlignment="1">
      <alignment horizontal="center" vertical="center" wrapText="1"/>
    </xf>
    <xf numFmtId="0" fontId="1" fillId="14" borderId="30" xfId="1" applyFont="1" applyFill="1" applyBorder="1" applyAlignment="1">
      <alignment horizontal="center" vertical="center" wrapText="1"/>
    </xf>
    <xf numFmtId="0" fontId="1" fillId="14" borderId="31" xfId="1" applyFont="1" applyFill="1" applyBorder="1" applyAlignment="1">
      <alignment horizontal="center" vertical="center" wrapText="1"/>
    </xf>
    <xf numFmtId="0" fontId="1" fillId="14" borderId="35" xfId="1" applyFont="1" applyFill="1" applyBorder="1" applyAlignment="1">
      <alignment horizontal="center" vertical="center" wrapText="1"/>
    </xf>
    <xf numFmtId="0" fontId="1" fillId="14" borderId="36" xfId="1" applyFont="1" applyFill="1" applyBorder="1" applyAlignment="1">
      <alignment horizontal="center" vertical="center" wrapText="1"/>
    </xf>
    <xf numFmtId="0" fontId="1" fillId="14" borderId="102" xfId="1" applyFont="1" applyFill="1" applyBorder="1" applyAlignment="1">
      <alignment horizontal="center" vertical="center" wrapText="1"/>
    </xf>
    <xf numFmtId="0" fontId="1" fillId="14" borderId="93" xfId="1" applyFont="1" applyFill="1" applyBorder="1" applyAlignment="1">
      <alignment horizontal="center" vertical="center" wrapText="1"/>
    </xf>
    <xf numFmtId="165" fontId="15" fillId="14" borderId="105" xfId="1" applyNumberFormat="1" applyFont="1" applyFill="1" applyBorder="1" applyAlignment="1">
      <alignment horizontal="center"/>
    </xf>
    <xf numFmtId="0" fontId="15" fillId="14" borderId="67" xfId="1" applyFont="1" applyFill="1" applyBorder="1" applyAlignment="1">
      <alignment horizontal="center"/>
    </xf>
    <xf numFmtId="0" fontId="15" fillId="14" borderId="91" xfId="1" applyFont="1" applyFill="1" applyBorder="1" applyAlignment="1">
      <alignment horizontal="center"/>
    </xf>
    <xf numFmtId="168" fontId="15" fillId="17" borderId="40" xfId="1" applyNumberFormat="1" applyFont="1" applyFill="1" applyBorder="1" applyAlignment="1">
      <alignment horizontal="center" vertical="center"/>
    </xf>
    <xf numFmtId="168" fontId="15" fillId="17" borderId="41" xfId="1" applyNumberFormat="1" applyFont="1" applyFill="1" applyBorder="1" applyAlignment="1">
      <alignment horizontal="center" vertical="center"/>
    </xf>
    <xf numFmtId="2" fontId="17" fillId="20" borderId="77" xfId="1" applyNumberFormat="1" applyFont="1" applyFill="1" applyBorder="1" applyAlignment="1">
      <alignment horizontal="center" vertical="center" wrapText="1"/>
    </xf>
    <xf numFmtId="2" fontId="17" fillId="20" borderId="78" xfId="1" applyNumberFormat="1" applyFont="1" applyFill="1" applyBorder="1" applyAlignment="1">
      <alignment horizontal="center" vertical="center" wrapText="1"/>
    </xf>
    <xf numFmtId="2" fontId="17" fillId="20" borderId="79" xfId="1" applyNumberFormat="1" applyFont="1" applyFill="1" applyBorder="1" applyAlignment="1">
      <alignment horizontal="center" vertical="center" wrapText="1"/>
    </xf>
    <xf numFmtId="2" fontId="17" fillId="19" borderId="77" xfId="1" applyNumberFormat="1" applyFont="1" applyFill="1" applyBorder="1" applyAlignment="1">
      <alignment horizontal="center" vertical="center" wrapText="1"/>
    </xf>
    <xf numFmtId="2" fontId="17" fillId="19" borderId="78" xfId="1" applyNumberFormat="1" applyFont="1" applyFill="1" applyBorder="1" applyAlignment="1">
      <alignment horizontal="center" vertical="center" wrapText="1"/>
    </xf>
    <xf numFmtId="2" fontId="17" fillId="19" borderId="79" xfId="1" applyNumberFormat="1" applyFont="1" applyFill="1" applyBorder="1" applyAlignment="1">
      <alignment horizontal="center" vertical="center" wrapText="1"/>
    </xf>
    <xf numFmtId="0" fontId="8" fillId="7" borderId="25" xfId="1" applyFont="1" applyFill="1" applyBorder="1" applyAlignment="1">
      <alignment horizontal="center" vertical="center"/>
    </xf>
    <xf numFmtId="0" fontId="8" fillId="7" borderId="26" xfId="1" applyFont="1" applyFill="1" applyBorder="1" applyAlignment="1">
      <alignment horizontal="center" vertical="center"/>
    </xf>
    <xf numFmtId="0" fontId="2" fillId="2" borderId="92" xfId="1" applyFont="1" applyFill="1" applyBorder="1" applyAlignment="1">
      <alignment horizontal="center" vertical="center" wrapText="1"/>
    </xf>
    <xf numFmtId="0" fontId="2" fillId="2" borderId="93" xfId="1" applyFont="1" applyFill="1" applyBorder="1" applyAlignment="1">
      <alignment horizontal="center" vertical="center" wrapText="1"/>
    </xf>
    <xf numFmtId="0" fontId="11" fillId="20" borderId="54" xfId="1" applyFont="1" applyFill="1" applyBorder="1" applyAlignment="1">
      <alignment horizontal="center"/>
    </xf>
    <xf numFmtId="0" fontId="11" fillId="20" borderId="40" xfId="1" applyFont="1" applyFill="1" applyBorder="1" applyAlignment="1">
      <alignment horizontal="center"/>
    </xf>
    <xf numFmtId="0" fontId="11" fillId="20" borderId="41" xfId="1" applyFont="1" applyFill="1" applyBorder="1" applyAlignment="1">
      <alignment horizontal="center"/>
    </xf>
    <xf numFmtId="0" fontId="11" fillId="19" borderId="55" xfId="1" applyFont="1" applyFill="1" applyBorder="1" applyAlignment="1">
      <alignment horizontal="center"/>
    </xf>
    <xf numFmtId="0" fontId="11" fillId="19" borderId="52" xfId="1" applyFont="1" applyFill="1" applyBorder="1" applyAlignment="1">
      <alignment horizontal="center"/>
    </xf>
    <xf numFmtId="0" fontId="11" fillId="19" borderId="53" xfId="1" applyFont="1" applyFill="1" applyBorder="1" applyAlignment="1">
      <alignment horizontal="center"/>
    </xf>
    <xf numFmtId="0" fontId="11" fillId="11" borderId="55" xfId="1" applyFont="1" applyFill="1" applyBorder="1" applyAlignment="1">
      <alignment horizontal="center"/>
    </xf>
    <xf numFmtId="0" fontId="11" fillId="11" borderId="52" xfId="1" applyFont="1" applyFill="1" applyBorder="1" applyAlignment="1">
      <alignment horizontal="center"/>
    </xf>
    <xf numFmtId="0" fontId="11" fillId="11" borderId="53" xfId="1" applyFont="1" applyFill="1" applyBorder="1" applyAlignment="1">
      <alignment horizontal="center"/>
    </xf>
    <xf numFmtId="0" fontId="11" fillId="11" borderId="90" xfId="1" applyFont="1" applyFill="1" applyBorder="1" applyAlignment="1">
      <alignment horizontal="center"/>
    </xf>
    <xf numFmtId="0" fontId="11" fillId="11" borderId="67" xfId="1" applyFont="1" applyFill="1" applyBorder="1" applyAlignment="1">
      <alignment horizontal="center"/>
    </xf>
    <xf numFmtId="0" fontId="11" fillId="11" borderId="91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emf"/><Relationship Id="rId13" Type="http://schemas.openxmlformats.org/officeDocument/2006/relationships/customXml" Target="../ink/ink6.xml"/><Relationship Id="rId7" Type="http://schemas.openxmlformats.org/officeDocument/2006/relationships/customXml" Target="../ink/ink3.xml"/><Relationship Id="rId12" Type="http://schemas.openxmlformats.org/officeDocument/2006/relationships/image" Target="../media/image6.emf"/><Relationship Id="rId16" Type="http://schemas.openxmlformats.org/officeDocument/2006/relationships/image" Target="../media/image8.emf"/><Relationship Id="rId1" Type="http://schemas.openxmlformats.org/officeDocument/2006/relationships/customXml" Target="../ink/ink1.xml"/><Relationship Id="rId6" Type="http://schemas.openxmlformats.org/officeDocument/2006/relationships/image" Target="../media/image3.emf"/><Relationship Id="rId11" Type="http://schemas.openxmlformats.org/officeDocument/2006/relationships/customXml" Target="../ink/ink5.xml"/><Relationship Id="rId5" Type="http://schemas.openxmlformats.org/officeDocument/2006/relationships/customXml" Target="../ink/ink2.xml"/><Relationship Id="rId15" Type="http://schemas.openxmlformats.org/officeDocument/2006/relationships/customXml" Target="../ink/ink7.xml"/><Relationship Id="rId10" Type="http://schemas.openxmlformats.org/officeDocument/2006/relationships/image" Target="../media/image5.emf"/><Relationship Id="rId4" Type="http://schemas.openxmlformats.org/officeDocument/2006/relationships/image" Target="../media/image2.emf"/><Relationship Id="rId9" Type="http://schemas.openxmlformats.org/officeDocument/2006/relationships/customXml" Target="../ink/ink4.xml"/><Relationship Id="rId14" Type="http://schemas.openxmlformats.org/officeDocument/2006/relationships/image" Target="../media/image7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ustomXml" Target="../ink/ink8.xml"/><Relationship Id="rId11" Type="http://schemas.openxmlformats.org/officeDocument/2006/relationships/customXml" Target="../ink/ink9.xml"/><Relationship Id="rId10" Type="http://schemas.openxmlformats.org/officeDocument/2006/relationships/image" Target="../media/image50.emf"/><Relationship Id="rId14" Type="http://schemas.openxmlformats.org/officeDocument/2006/relationships/image" Target="../media/image7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59532</xdr:colOff>
      <xdr:row>12</xdr:row>
      <xdr:rowOff>226223</xdr:rowOff>
    </xdr:from>
    <xdr:to>
      <xdr:col>12</xdr:col>
      <xdr:colOff>364332</xdr:colOff>
      <xdr:row>21</xdr:row>
      <xdr:rowOff>192886</xdr:rowOff>
    </xdr:to>
    <xdr:grpSp>
      <xdr:nvGrpSpPr>
        <xdr:cNvPr id="29" name="Group 28"/>
        <xdr:cNvGrpSpPr/>
      </xdr:nvGrpSpPr>
      <xdr:grpSpPr>
        <a:xfrm>
          <a:off x="1381126" y="3190879"/>
          <a:ext cx="3198019" cy="2645570"/>
          <a:chOff x="1326356" y="3157538"/>
          <a:chExt cx="3300413" cy="2333625"/>
        </a:xfrm>
      </xdr:grpSpPr>
      <xdr:grpSp>
        <xdr:nvGrpSpPr>
          <xdr:cNvPr id="31" name="Group 30"/>
          <xdr:cNvGrpSpPr/>
        </xdr:nvGrpSpPr>
        <xdr:grpSpPr>
          <a:xfrm>
            <a:off x="1326356" y="3157538"/>
            <a:ext cx="3300413" cy="2333625"/>
            <a:chOff x="1276350" y="3324225"/>
            <a:chExt cx="3295650" cy="2333625"/>
          </a:xfrm>
        </xdr:grpSpPr>
        <xdr:grpSp>
          <xdr:nvGrpSpPr>
            <xdr:cNvPr id="2" name="Group 1"/>
            <xdr:cNvGrpSpPr/>
          </xdr:nvGrpSpPr>
          <xdr:grpSpPr>
            <a:xfrm>
              <a:off x="1276350" y="3324225"/>
              <a:ext cx="3295650" cy="2333625"/>
              <a:chOff x="533400" y="1390604"/>
              <a:chExt cx="8001000" cy="4894418"/>
            </a:xfrm>
          </xdr:grpSpPr>
          <xdr:grpSp>
            <xdr:nvGrpSpPr>
              <xdr:cNvPr id="3" name="Group 2"/>
              <xdr:cNvGrpSpPr/>
            </xdr:nvGrpSpPr>
            <xdr:grpSpPr>
              <a:xfrm>
                <a:off x="533400" y="1390604"/>
                <a:ext cx="8001000" cy="4894418"/>
                <a:chOff x="533400" y="1390604"/>
                <a:chExt cx="8001000" cy="4894418"/>
              </a:xfrm>
            </xdr:grpSpPr>
            <xdr:sp macro="" textlink="">
              <xdr:nvSpPr>
                <xdr:cNvPr id="18" name="Oval 17"/>
                <xdr:cNvSpPr/>
              </xdr:nvSpPr>
              <xdr:spPr>
                <a:xfrm>
                  <a:off x="685800" y="1741597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A</a:t>
                  </a:r>
                </a:p>
              </xdr:txBody>
            </xdr:sp>
            <xdr:sp macro="" textlink="">
              <xdr:nvSpPr>
                <xdr:cNvPr id="19" name="Oval 18"/>
                <xdr:cNvSpPr/>
              </xdr:nvSpPr>
              <xdr:spPr>
                <a:xfrm>
                  <a:off x="2057400" y="190500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B</a:t>
                  </a:r>
                </a:p>
              </xdr:txBody>
            </xdr:sp>
            <xdr:sp macro="" textlink="">
              <xdr:nvSpPr>
                <xdr:cNvPr id="20" name="Oval 19"/>
                <xdr:cNvSpPr/>
              </xdr:nvSpPr>
              <xdr:spPr>
                <a:xfrm>
                  <a:off x="2056722" y="4070875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C</a:t>
                  </a:r>
                </a:p>
              </xdr:txBody>
            </xdr:sp>
            <xdr:sp macro="" textlink="">
              <xdr:nvSpPr>
                <xdr:cNvPr id="21" name="Oval 20"/>
                <xdr:cNvSpPr/>
              </xdr:nvSpPr>
              <xdr:spPr>
                <a:xfrm>
                  <a:off x="4495800" y="430530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F</a:t>
                  </a:r>
                </a:p>
              </xdr:txBody>
            </xdr:sp>
            <xdr:sp macro="" textlink="">
              <xdr:nvSpPr>
                <xdr:cNvPr id="22" name="Oval 21"/>
                <xdr:cNvSpPr/>
              </xdr:nvSpPr>
              <xdr:spPr>
                <a:xfrm>
                  <a:off x="533400" y="525780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D</a:t>
                  </a:r>
                </a:p>
              </xdr:txBody>
            </xdr:sp>
            <xdr:sp macro="" textlink="">
              <xdr:nvSpPr>
                <xdr:cNvPr id="23" name="Oval 22"/>
                <xdr:cNvSpPr/>
              </xdr:nvSpPr>
              <xdr:spPr>
                <a:xfrm>
                  <a:off x="5867400" y="2845065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H</a:t>
                  </a:r>
                </a:p>
              </xdr:txBody>
            </xdr:sp>
            <xdr:sp macro="" textlink="">
              <xdr:nvSpPr>
                <xdr:cNvPr id="24" name="Oval 23"/>
                <xdr:cNvSpPr/>
              </xdr:nvSpPr>
              <xdr:spPr>
                <a:xfrm>
                  <a:off x="5257800" y="5599222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E</a:t>
                  </a:r>
                </a:p>
              </xdr:txBody>
            </xdr:sp>
            <xdr:sp macro="" textlink="">
              <xdr:nvSpPr>
                <xdr:cNvPr id="25" name="Oval 24"/>
                <xdr:cNvSpPr/>
              </xdr:nvSpPr>
              <xdr:spPr>
                <a:xfrm>
                  <a:off x="4343400" y="163830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G</a:t>
                  </a:r>
                </a:p>
              </xdr:txBody>
            </xdr:sp>
            <xdr:sp macro="" textlink="">
              <xdr:nvSpPr>
                <xdr:cNvPr id="26" name="Oval 25"/>
                <xdr:cNvSpPr/>
              </xdr:nvSpPr>
              <xdr:spPr>
                <a:xfrm>
                  <a:off x="7772400" y="436985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J</a:t>
                  </a:r>
                </a:p>
              </xdr:txBody>
            </xdr:sp>
            <xdr:sp macro="" textlink="">
              <xdr:nvSpPr>
                <xdr:cNvPr id="27" name="Oval 26"/>
                <xdr:cNvSpPr/>
              </xdr:nvSpPr>
              <xdr:spPr>
                <a:xfrm>
                  <a:off x="7620000" y="1390604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I</a:t>
                  </a:r>
                </a:p>
              </xdr:txBody>
            </xdr:sp>
          </xdr:grpSp>
          <xdr:grpSp>
            <xdr:nvGrpSpPr>
              <xdr:cNvPr id="4" name="Group 3"/>
              <xdr:cNvGrpSpPr/>
            </xdr:nvGrpSpPr>
            <xdr:grpSpPr>
              <a:xfrm>
                <a:off x="914401" y="1491037"/>
                <a:ext cx="7239000" cy="4451085"/>
                <a:chOff x="914401" y="1491037"/>
                <a:chExt cx="7239000" cy="4451085"/>
              </a:xfrm>
            </xdr:grpSpPr>
            <xdr:cxnSp macro="">
              <xdr:nvCxnSpPr>
                <xdr:cNvPr id="5" name="Straight Arrow Connector 4"/>
                <xdr:cNvCxnSpPr>
                  <a:stCxn id="18" idx="6"/>
                </xdr:cNvCxnSpPr>
              </xdr:nvCxnSpPr>
              <xdr:spPr>
                <a:xfrm>
                  <a:off x="1447801" y="2084496"/>
                  <a:ext cx="609599" cy="114300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" name="Straight Arrow Connector 5"/>
                <xdr:cNvCxnSpPr>
                  <a:stCxn id="20" idx="6"/>
                  <a:endCxn id="21" idx="2"/>
                </xdr:cNvCxnSpPr>
              </xdr:nvCxnSpPr>
              <xdr:spPr>
                <a:xfrm>
                  <a:off x="2818723" y="4413775"/>
                  <a:ext cx="1677078" cy="234425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" name="Straight Arrow Connector 6"/>
                <xdr:cNvCxnSpPr>
                  <a:endCxn id="20" idx="1"/>
                </xdr:cNvCxnSpPr>
              </xdr:nvCxnSpPr>
              <xdr:spPr>
                <a:xfrm>
                  <a:off x="1227347" y="2368025"/>
                  <a:ext cx="940968" cy="1803283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8" name="Straight Arrow Connector 7"/>
                <xdr:cNvCxnSpPr>
                  <a:endCxn id="22" idx="0"/>
                </xdr:cNvCxnSpPr>
              </xdr:nvCxnSpPr>
              <xdr:spPr>
                <a:xfrm flipH="1">
                  <a:off x="914401" y="2427397"/>
                  <a:ext cx="151046" cy="2830402"/>
                </a:xfrm>
                <a:prstGeom prst="straightConnector1">
                  <a:avLst/>
                </a:prstGeom>
                <a:ln>
                  <a:headEnd type="triangle" w="med" len="med"/>
                  <a:tailEnd type="triangle" w="med" len="med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" name="Straight Arrow Connector 8"/>
                <xdr:cNvCxnSpPr>
                  <a:endCxn id="20" idx="0"/>
                </xdr:cNvCxnSpPr>
              </xdr:nvCxnSpPr>
              <xdr:spPr>
                <a:xfrm>
                  <a:off x="2330215" y="2606940"/>
                  <a:ext cx="107508" cy="1463935"/>
                </a:xfrm>
                <a:prstGeom prst="straightConnector1">
                  <a:avLst/>
                </a:prstGeom>
                <a:ln>
                  <a:headEnd type="triangle" w="med" len="med"/>
                  <a:tailEnd type="triangle" w="med" len="med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0" name="Straight Arrow Connector 9"/>
                <xdr:cNvCxnSpPr>
                  <a:stCxn id="24" idx="2"/>
                </xdr:cNvCxnSpPr>
              </xdr:nvCxnSpPr>
              <xdr:spPr>
                <a:xfrm flipH="1" flipV="1">
                  <a:off x="1287108" y="5748014"/>
                  <a:ext cx="3970693" cy="194108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" name="Straight Arrow Connector 10"/>
                <xdr:cNvCxnSpPr>
                  <a:stCxn id="25" idx="4"/>
                </xdr:cNvCxnSpPr>
              </xdr:nvCxnSpPr>
              <xdr:spPr>
                <a:xfrm>
                  <a:off x="4724401" y="2324100"/>
                  <a:ext cx="107506" cy="1984900"/>
                </a:xfrm>
                <a:prstGeom prst="straightConnector1">
                  <a:avLst/>
                </a:prstGeom>
                <a:ln>
                  <a:headEnd type="triangle" w="med" len="med"/>
                  <a:tailEnd type="triangle" w="med" len="med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2" name="Straight Arrow Connector 11"/>
                <xdr:cNvCxnSpPr>
                  <a:endCxn id="26" idx="0"/>
                </xdr:cNvCxnSpPr>
              </xdr:nvCxnSpPr>
              <xdr:spPr>
                <a:xfrm>
                  <a:off x="8007139" y="2066288"/>
                  <a:ext cx="146262" cy="2303561"/>
                </a:xfrm>
                <a:prstGeom prst="straightConnector1">
                  <a:avLst/>
                </a:prstGeom>
                <a:ln>
                  <a:headEnd type="triangle" w="med" len="med"/>
                  <a:tailEnd type="triangle" w="med" len="med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3" name="Straight Arrow Connector 12"/>
                <xdr:cNvCxnSpPr>
                  <a:endCxn id="23" idx="1"/>
                </xdr:cNvCxnSpPr>
              </xdr:nvCxnSpPr>
              <xdr:spPr>
                <a:xfrm>
                  <a:off x="5038725" y="2114551"/>
                  <a:ext cx="940268" cy="830948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4" name="Straight Arrow Connector 13"/>
                <xdr:cNvCxnSpPr>
                  <a:endCxn id="27" idx="2"/>
                </xdr:cNvCxnSpPr>
              </xdr:nvCxnSpPr>
              <xdr:spPr>
                <a:xfrm flipV="1">
                  <a:off x="5079533" y="1733504"/>
                  <a:ext cx="2540468" cy="211022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" name="Straight Arrow Connector 14"/>
                <xdr:cNvCxnSpPr>
                  <a:endCxn id="23" idx="7"/>
                </xdr:cNvCxnSpPr>
              </xdr:nvCxnSpPr>
              <xdr:spPr>
                <a:xfrm flipH="1">
                  <a:off x="6517809" y="1934724"/>
                  <a:ext cx="1165458" cy="1010774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6" name="Straight Arrow Connector 15"/>
                <xdr:cNvCxnSpPr>
                  <a:stCxn id="22" idx="6"/>
                </xdr:cNvCxnSpPr>
              </xdr:nvCxnSpPr>
              <xdr:spPr>
                <a:xfrm flipV="1">
                  <a:off x="1295401" y="4891552"/>
                  <a:ext cx="6550547" cy="709147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7" name="Curved Connector 16"/>
                <xdr:cNvCxnSpPr>
                  <a:stCxn id="19" idx="7"/>
                  <a:endCxn id="27" idx="1"/>
                </xdr:cNvCxnSpPr>
              </xdr:nvCxnSpPr>
              <xdr:spPr>
                <a:xfrm rot="5400000" flipH="1" flipV="1">
                  <a:off x="4962503" y="-763657"/>
                  <a:ext cx="514395" cy="5023784"/>
                </a:xfrm>
                <a:prstGeom prst="curvedConnector3">
                  <a:avLst>
                    <a:gd name="adj1" fmla="val 171365"/>
                  </a:avLst>
                </a:prstGeom>
                <a:ln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</xdr:grpSp>
        </xdr:grpSp>
        <xdr:cxnSp macro="">
          <xdr:nvCxnSpPr>
            <xdr:cNvPr id="28" name="Straight Arrow Connector 27"/>
            <xdr:cNvCxnSpPr>
              <a:stCxn id="23" idx="3"/>
              <a:endCxn id="21" idx="7"/>
            </xdr:cNvCxnSpPr>
          </xdr:nvCxnSpPr>
          <xdr:spPr>
            <a:xfrm flipH="1">
              <a:off x="3176387" y="4296801"/>
              <a:ext cx="343028" cy="465017"/>
            </a:xfrm>
            <a:prstGeom prst="straightConnector1">
              <a:avLst/>
            </a:prstGeom>
            <a:ln>
              <a:solidFill>
                <a:schemeClr val="tx1"/>
              </a:solidFill>
              <a:tailEnd type="triangle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" name="Straight Arrow Connector 31"/>
          <xdr:cNvCxnSpPr>
            <a:endCxn id="24" idx="6"/>
          </xdr:cNvCxnSpPr>
        </xdr:nvCxnSpPr>
        <xdr:spPr>
          <a:xfrm flipH="1">
            <a:off x="3589496" y="4872038"/>
            <a:ext cx="783103" cy="455633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250032</xdr:colOff>
      <xdr:row>1</xdr:row>
      <xdr:rowOff>35716</xdr:rowOff>
    </xdr:from>
    <xdr:to>
      <xdr:col>32</xdr:col>
      <xdr:colOff>623889</xdr:colOff>
      <xdr:row>18</xdr:row>
      <xdr:rowOff>95247</xdr:rowOff>
    </xdr:to>
    <xdr:grpSp>
      <xdr:nvGrpSpPr>
        <xdr:cNvPr id="61" name="Group 60"/>
        <xdr:cNvGrpSpPr/>
      </xdr:nvGrpSpPr>
      <xdr:grpSpPr>
        <a:xfrm>
          <a:off x="12239626" y="380997"/>
          <a:ext cx="5088732" cy="4393406"/>
          <a:chOff x="1326356" y="3157538"/>
          <a:chExt cx="3300413" cy="2333625"/>
        </a:xfrm>
      </xdr:grpSpPr>
      <xdr:grpSp>
        <xdr:nvGrpSpPr>
          <xdr:cNvPr id="62" name="Group 61"/>
          <xdr:cNvGrpSpPr/>
        </xdr:nvGrpSpPr>
        <xdr:grpSpPr>
          <a:xfrm>
            <a:off x="1326356" y="3157538"/>
            <a:ext cx="3300413" cy="2333625"/>
            <a:chOff x="1276350" y="3324225"/>
            <a:chExt cx="3295650" cy="2333625"/>
          </a:xfrm>
        </xdr:grpSpPr>
        <xdr:grpSp>
          <xdr:nvGrpSpPr>
            <xdr:cNvPr id="64" name="Group 63"/>
            <xdr:cNvGrpSpPr/>
          </xdr:nvGrpSpPr>
          <xdr:grpSpPr>
            <a:xfrm>
              <a:off x="1276350" y="3324225"/>
              <a:ext cx="3295650" cy="2333625"/>
              <a:chOff x="533400" y="1390604"/>
              <a:chExt cx="8001000" cy="4894418"/>
            </a:xfrm>
          </xdr:grpSpPr>
          <xdr:grpSp>
            <xdr:nvGrpSpPr>
              <xdr:cNvPr id="66" name="Group 65"/>
              <xdr:cNvGrpSpPr/>
            </xdr:nvGrpSpPr>
            <xdr:grpSpPr>
              <a:xfrm>
                <a:off x="533400" y="1390604"/>
                <a:ext cx="8001000" cy="4894418"/>
                <a:chOff x="533400" y="1390604"/>
                <a:chExt cx="8001000" cy="4894418"/>
              </a:xfrm>
            </xdr:grpSpPr>
            <xdr:sp macro="" textlink="">
              <xdr:nvSpPr>
                <xdr:cNvPr id="81" name="Oval 80"/>
                <xdr:cNvSpPr/>
              </xdr:nvSpPr>
              <xdr:spPr>
                <a:xfrm>
                  <a:off x="685800" y="1741597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A</a:t>
                  </a:r>
                </a:p>
              </xdr:txBody>
            </xdr:sp>
            <xdr:sp macro="" textlink="">
              <xdr:nvSpPr>
                <xdr:cNvPr id="82" name="Oval 81"/>
                <xdr:cNvSpPr/>
              </xdr:nvSpPr>
              <xdr:spPr>
                <a:xfrm>
                  <a:off x="2057400" y="190500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B</a:t>
                  </a:r>
                </a:p>
              </xdr:txBody>
            </xdr:sp>
            <xdr:sp macro="" textlink="">
              <xdr:nvSpPr>
                <xdr:cNvPr id="83" name="Oval 82"/>
                <xdr:cNvSpPr/>
              </xdr:nvSpPr>
              <xdr:spPr>
                <a:xfrm>
                  <a:off x="2056722" y="4070875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C</a:t>
                  </a:r>
                </a:p>
              </xdr:txBody>
            </xdr:sp>
            <xdr:sp macro="" textlink="">
              <xdr:nvSpPr>
                <xdr:cNvPr id="84" name="Oval 83"/>
                <xdr:cNvSpPr/>
              </xdr:nvSpPr>
              <xdr:spPr>
                <a:xfrm>
                  <a:off x="4495800" y="430530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F</a:t>
                  </a:r>
                </a:p>
              </xdr:txBody>
            </xdr:sp>
            <xdr:sp macro="" textlink="">
              <xdr:nvSpPr>
                <xdr:cNvPr id="85" name="Oval 84"/>
                <xdr:cNvSpPr/>
              </xdr:nvSpPr>
              <xdr:spPr>
                <a:xfrm>
                  <a:off x="533400" y="525780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D</a:t>
                  </a:r>
                </a:p>
              </xdr:txBody>
            </xdr:sp>
            <xdr:sp macro="" textlink="">
              <xdr:nvSpPr>
                <xdr:cNvPr id="86" name="Oval 85"/>
                <xdr:cNvSpPr/>
              </xdr:nvSpPr>
              <xdr:spPr>
                <a:xfrm>
                  <a:off x="5867400" y="2845065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H</a:t>
                  </a:r>
                </a:p>
              </xdr:txBody>
            </xdr:sp>
            <xdr:sp macro="" textlink="">
              <xdr:nvSpPr>
                <xdr:cNvPr id="87" name="Oval 86"/>
                <xdr:cNvSpPr/>
              </xdr:nvSpPr>
              <xdr:spPr>
                <a:xfrm>
                  <a:off x="5257800" y="5599222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E</a:t>
                  </a:r>
                </a:p>
              </xdr:txBody>
            </xdr:sp>
            <xdr:sp macro="" textlink="">
              <xdr:nvSpPr>
                <xdr:cNvPr id="88" name="Oval 87"/>
                <xdr:cNvSpPr/>
              </xdr:nvSpPr>
              <xdr:spPr>
                <a:xfrm>
                  <a:off x="4343400" y="163830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G</a:t>
                  </a:r>
                </a:p>
              </xdr:txBody>
            </xdr:sp>
            <xdr:sp macro="" textlink="">
              <xdr:nvSpPr>
                <xdr:cNvPr id="89" name="Oval 88"/>
                <xdr:cNvSpPr/>
              </xdr:nvSpPr>
              <xdr:spPr>
                <a:xfrm>
                  <a:off x="7772400" y="436985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J</a:t>
                  </a:r>
                </a:p>
              </xdr:txBody>
            </xdr:sp>
            <xdr:sp macro="" textlink="">
              <xdr:nvSpPr>
                <xdr:cNvPr id="90" name="Oval 89"/>
                <xdr:cNvSpPr/>
              </xdr:nvSpPr>
              <xdr:spPr>
                <a:xfrm>
                  <a:off x="7620000" y="1390604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I</a:t>
                  </a:r>
                </a:p>
              </xdr:txBody>
            </xdr:sp>
          </xdr:grpSp>
          <xdr:grpSp>
            <xdr:nvGrpSpPr>
              <xdr:cNvPr id="67" name="Group 66"/>
              <xdr:cNvGrpSpPr/>
            </xdr:nvGrpSpPr>
            <xdr:grpSpPr>
              <a:xfrm>
                <a:off x="914401" y="1491037"/>
                <a:ext cx="7239000" cy="4451085"/>
                <a:chOff x="914401" y="1491037"/>
                <a:chExt cx="7239000" cy="4451085"/>
              </a:xfrm>
            </xdr:grpSpPr>
            <xdr:cxnSp macro="">
              <xdr:nvCxnSpPr>
                <xdr:cNvPr id="68" name="Straight Arrow Connector 67"/>
                <xdr:cNvCxnSpPr>
                  <a:stCxn id="81" idx="6"/>
                </xdr:cNvCxnSpPr>
              </xdr:nvCxnSpPr>
              <xdr:spPr>
                <a:xfrm>
                  <a:off x="1447801" y="2084496"/>
                  <a:ext cx="609599" cy="114300"/>
                </a:xfrm>
                <a:prstGeom prst="straightConnector1">
                  <a:avLst/>
                </a:prstGeom>
                <a:ln>
                  <a:tailEnd type="non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9" name="Straight Arrow Connector 68"/>
                <xdr:cNvCxnSpPr>
                  <a:stCxn id="83" idx="6"/>
                  <a:endCxn id="84" idx="2"/>
                </xdr:cNvCxnSpPr>
              </xdr:nvCxnSpPr>
              <xdr:spPr>
                <a:xfrm>
                  <a:off x="2818723" y="4413775"/>
                  <a:ext cx="1677078" cy="234425"/>
                </a:xfrm>
                <a:prstGeom prst="straightConnector1">
                  <a:avLst/>
                </a:prstGeom>
                <a:ln>
                  <a:tailEnd type="non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0" name="Straight Arrow Connector 69"/>
                <xdr:cNvCxnSpPr>
                  <a:endCxn id="83" idx="1"/>
                </xdr:cNvCxnSpPr>
              </xdr:nvCxnSpPr>
              <xdr:spPr>
                <a:xfrm>
                  <a:off x="1227347" y="2368025"/>
                  <a:ext cx="940968" cy="1803283"/>
                </a:xfrm>
                <a:prstGeom prst="straightConnector1">
                  <a:avLst/>
                </a:prstGeom>
                <a:ln>
                  <a:tailEnd type="non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1" name="Straight Arrow Connector 70"/>
                <xdr:cNvCxnSpPr>
                  <a:endCxn id="85" idx="0"/>
                </xdr:cNvCxnSpPr>
              </xdr:nvCxnSpPr>
              <xdr:spPr>
                <a:xfrm flipH="1">
                  <a:off x="914401" y="2427397"/>
                  <a:ext cx="151046" cy="2830402"/>
                </a:xfrm>
                <a:prstGeom prst="straightConnector1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2" name="Straight Arrow Connector 71"/>
                <xdr:cNvCxnSpPr>
                  <a:endCxn id="83" idx="0"/>
                </xdr:cNvCxnSpPr>
              </xdr:nvCxnSpPr>
              <xdr:spPr>
                <a:xfrm>
                  <a:off x="2330215" y="2606940"/>
                  <a:ext cx="107508" cy="1463935"/>
                </a:xfrm>
                <a:prstGeom prst="straightConnector1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3" name="Straight Arrow Connector 72"/>
                <xdr:cNvCxnSpPr>
                  <a:stCxn id="87" idx="2"/>
                </xdr:cNvCxnSpPr>
              </xdr:nvCxnSpPr>
              <xdr:spPr>
                <a:xfrm flipH="1" flipV="1">
                  <a:off x="1287108" y="5748014"/>
                  <a:ext cx="3970693" cy="194108"/>
                </a:xfrm>
                <a:prstGeom prst="straightConnector1">
                  <a:avLst/>
                </a:prstGeom>
                <a:ln>
                  <a:tailEnd type="non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4" name="Straight Arrow Connector 73"/>
                <xdr:cNvCxnSpPr>
                  <a:stCxn id="88" idx="4"/>
                </xdr:cNvCxnSpPr>
              </xdr:nvCxnSpPr>
              <xdr:spPr>
                <a:xfrm>
                  <a:off x="4724401" y="2324100"/>
                  <a:ext cx="107506" cy="1984900"/>
                </a:xfrm>
                <a:prstGeom prst="straightConnector1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5" name="Straight Arrow Connector 74"/>
                <xdr:cNvCxnSpPr>
                  <a:endCxn id="89" idx="0"/>
                </xdr:cNvCxnSpPr>
              </xdr:nvCxnSpPr>
              <xdr:spPr>
                <a:xfrm>
                  <a:off x="8007139" y="2066288"/>
                  <a:ext cx="146262" cy="2303561"/>
                </a:xfrm>
                <a:prstGeom prst="straightConnector1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6" name="Straight Arrow Connector 75"/>
                <xdr:cNvCxnSpPr>
                  <a:endCxn id="86" idx="1"/>
                </xdr:cNvCxnSpPr>
              </xdr:nvCxnSpPr>
              <xdr:spPr>
                <a:xfrm>
                  <a:off x="5038725" y="2114551"/>
                  <a:ext cx="940268" cy="830948"/>
                </a:xfrm>
                <a:prstGeom prst="straightConnector1">
                  <a:avLst/>
                </a:prstGeom>
                <a:ln>
                  <a:tailEnd type="non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7" name="Straight Arrow Connector 76"/>
                <xdr:cNvCxnSpPr>
                  <a:endCxn id="90" idx="2"/>
                </xdr:cNvCxnSpPr>
              </xdr:nvCxnSpPr>
              <xdr:spPr>
                <a:xfrm flipV="1">
                  <a:off x="5079533" y="1733504"/>
                  <a:ext cx="2540468" cy="211022"/>
                </a:xfrm>
                <a:prstGeom prst="straightConnector1">
                  <a:avLst/>
                </a:prstGeom>
                <a:ln>
                  <a:tailEnd type="non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8" name="Straight Arrow Connector 77"/>
                <xdr:cNvCxnSpPr>
                  <a:endCxn id="86" idx="7"/>
                </xdr:cNvCxnSpPr>
              </xdr:nvCxnSpPr>
              <xdr:spPr>
                <a:xfrm flipH="1">
                  <a:off x="6517809" y="1934724"/>
                  <a:ext cx="1165458" cy="1010774"/>
                </a:xfrm>
                <a:prstGeom prst="straightConnector1">
                  <a:avLst/>
                </a:prstGeom>
                <a:ln>
                  <a:tailEnd type="non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9" name="Straight Arrow Connector 78"/>
                <xdr:cNvCxnSpPr>
                  <a:stCxn id="85" idx="6"/>
                </xdr:cNvCxnSpPr>
              </xdr:nvCxnSpPr>
              <xdr:spPr>
                <a:xfrm flipV="1">
                  <a:off x="1295401" y="4891552"/>
                  <a:ext cx="6550547" cy="709147"/>
                </a:xfrm>
                <a:prstGeom prst="straightConnector1">
                  <a:avLst/>
                </a:prstGeom>
                <a:ln>
                  <a:tailEnd type="non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80" name="Curved Connector 79"/>
                <xdr:cNvCxnSpPr>
                  <a:stCxn id="82" idx="7"/>
                  <a:endCxn id="90" idx="1"/>
                </xdr:cNvCxnSpPr>
              </xdr:nvCxnSpPr>
              <xdr:spPr>
                <a:xfrm rot="5400000" flipH="1" flipV="1">
                  <a:off x="4962503" y="-763657"/>
                  <a:ext cx="514395" cy="5023784"/>
                </a:xfrm>
                <a:prstGeom prst="curvedConnector3">
                  <a:avLst>
                    <a:gd name="adj1" fmla="val 171365"/>
                  </a:avLst>
                </a:prstGeom>
                <a:ln>
                  <a:tailEnd type="non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</xdr:grpSp>
        </xdr:grpSp>
        <xdr:cxnSp macro="">
          <xdr:nvCxnSpPr>
            <xdr:cNvPr id="65" name="Straight Arrow Connector 64"/>
            <xdr:cNvCxnSpPr>
              <a:stCxn id="86" idx="3"/>
              <a:endCxn id="84" idx="7"/>
            </xdr:cNvCxnSpPr>
          </xdr:nvCxnSpPr>
          <xdr:spPr>
            <a:xfrm flipH="1">
              <a:off x="3176387" y="4296801"/>
              <a:ext cx="343028" cy="465017"/>
            </a:xfrm>
            <a:prstGeom prst="straightConnector1">
              <a:avLst/>
            </a:prstGeom>
            <a:ln>
              <a:solidFill>
                <a:schemeClr val="tx1"/>
              </a:solidFill>
              <a:tailEnd type="none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63" name="Straight Arrow Connector 62"/>
          <xdr:cNvCxnSpPr>
            <a:endCxn id="87" idx="6"/>
          </xdr:cNvCxnSpPr>
        </xdr:nvCxnSpPr>
        <xdr:spPr>
          <a:xfrm flipH="1">
            <a:off x="3589496" y="4872038"/>
            <a:ext cx="783103" cy="455633"/>
          </a:xfrm>
          <a:prstGeom prst="straightConnector1">
            <a:avLst/>
          </a:prstGeom>
          <a:ln>
            <a:solidFill>
              <a:schemeClr val="tx1"/>
            </a:solidFill>
            <a:tailEnd type="non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177469</xdr:colOff>
      <xdr:row>0</xdr:row>
      <xdr:rowOff>91406</xdr:rowOff>
    </xdr:from>
    <xdr:to>
      <xdr:col>27</xdr:col>
      <xdr:colOff>318297</xdr:colOff>
      <xdr:row>0</xdr:row>
      <xdr:rowOff>306686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62" name="Ink 161"/>
            <xdr14:cNvContentPartPr/>
          </xdr14:nvContentPartPr>
          <xdr14:nvPr macro=""/>
          <xdr14:xfrm>
            <a:off x="12167063" y="91406"/>
            <a:ext cx="926640" cy="215280"/>
          </xdr14:xfrm>
        </xdr:contentPart>
      </mc:Choice>
      <mc:Fallback xmlns="">
        <xdr:pic>
          <xdr:nvPicPr>
            <xdr:cNvPr id="162" name="Ink 161"/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2156983" y="80606"/>
              <a:ext cx="948600" cy="2325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29</xdr:col>
      <xdr:colOff>513878</xdr:colOff>
      <xdr:row>13</xdr:row>
      <xdr:rowOff>157267</xdr:rowOff>
    </xdr:from>
    <xdr:to>
      <xdr:col>29</xdr:col>
      <xdr:colOff>514238</xdr:colOff>
      <xdr:row>13</xdr:row>
      <xdr:rowOff>157627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69" name="Ink 168"/>
            <xdr14:cNvContentPartPr/>
          </xdr14:nvContentPartPr>
          <xdr14:nvPr macro=""/>
          <xdr14:xfrm>
            <a:off x="14860909" y="3431486"/>
            <a:ext cx="360" cy="360"/>
          </xdr14:xfrm>
        </xdr:contentPart>
      </mc:Choice>
      <mc:Fallback xmlns="">
        <xdr:pic>
          <xdr:nvPicPr>
            <xdr:cNvPr id="169" name="Ink 168"/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4854429" y="3425006"/>
              <a:ext cx="1332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25</xdr:col>
      <xdr:colOff>833726</xdr:colOff>
      <xdr:row>0</xdr:row>
      <xdr:rowOff>-8015</xdr:rowOff>
    </xdr:from>
    <xdr:to>
      <xdr:col>26</xdr:col>
      <xdr:colOff>23137</xdr:colOff>
      <xdr:row>0</xdr:row>
      <xdr:rowOff>128126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78" name="Ink 177"/>
            <xdr14:cNvContentPartPr/>
          </xdr14:nvContentPartPr>
          <xdr14:nvPr macro=""/>
          <xdr14:xfrm>
            <a:off x="11739851" y="-8015"/>
            <a:ext cx="272880" cy="136141"/>
          </xdr14:xfrm>
        </xdr:contentPart>
      </mc:Choice>
      <mc:Fallback xmlns="">
        <xdr:pic>
          <xdr:nvPicPr>
            <xdr:cNvPr id="178" name="Ink 177"/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1732291" y="-15578"/>
              <a:ext cx="286560" cy="149827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21</xdr:col>
      <xdr:colOff>384334</xdr:colOff>
      <xdr:row>0</xdr:row>
      <xdr:rowOff>126326</xdr:rowOff>
    </xdr:from>
    <xdr:to>
      <xdr:col>21</xdr:col>
      <xdr:colOff>390454</xdr:colOff>
      <xdr:row>0</xdr:row>
      <xdr:rowOff>129566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85" name="Ink 184"/>
            <xdr14:cNvContentPartPr/>
          </xdr14:nvContentPartPr>
          <xdr14:nvPr macro=""/>
          <xdr14:xfrm>
            <a:off x="9480709" y="126326"/>
            <a:ext cx="6120" cy="3240"/>
          </xdr14:xfrm>
        </xdr:contentPart>
      </mc:Choice>
      <mc:Fallback xmlns="">
        <xdr:pic>
          <xdr:nvPicPr>
            <xdr:cNvPr id="185" name="Ink 184"/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9473509" y="119126"/>
              <a:ext cx="18360" cy="154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14</xdr:col>
      <xdr:colOff>646920</xdr:colOff>
      <xdr:row>0</xdr:row>
      <xdr:rowOff>-10408</xdr:rowOff>
    </xdr:from>
    <xdr:to>
      <xdr:col>14</xdr:col>
      <xdr:colOff>874440</xdr:colOff>
      <xdr:row>0</xdr:row>
      <xdr:rowOff>165206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86" name="Ink 185"/>
            <xdr14:cNvContentPartPr/>
          </xdr14:nvContentPartPr>
          <xdr14:nvPr macro=""/>
          <xdr14:xfrm>
            <a:off x="5659451" y="-10408"/>
            <a:ext cx="227520" cy="175614"/>
          </xdr14:xfrm>
        </xdr:contentPart>
      </mc:Choice>
      <mc:Fallback xmlns="">
        <xdr:pic>
          <xdr:nvPicPr>
            <xdr:cNvPr id="186" name="Ink 185"/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654771" y="-19764"/>
              <a:ext cx="241560" cy="189649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14</xdr:col>
      <xdr:colOff>301680</xdr:colOff>
      <xdr:row>0</xdr:row>
      <xdr:rowOff>284366</xdr:rowOff>
    </xdr:from>
    <xdr:to>
      <xdr:col>14</xdr:col>
      <xdr:colOff>366120</xdr:colOff>
      <xdr:row>1</xdr:row>
      <xdr:rowOff>49245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87" name="Ink 186"/>
            <xdr14:cNvContentPartPr/>
          </xdr14:nvContentPartPr>
          <xdr14:nvPr macro=""/>
          <xdr14:xfrm>
            <a:off x="5314211" y="284366"/>
            <a:ext cx="64440" cy="110160"/>
          </xdr14:xfrm>
        </xdr:contentPart>
      </mc:Choice>
      <mc:Fallback xmlns="">
        <xdr:pic>
          <xdr:nvPicPr>
            <xdr:cNvPr id="187" name="Ink 186"/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309171" y="280766"/>
              <a:ext cx="73080" cy="1173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20</xdr:col>
      <xdr:colOff>254291</xdr:colOff>
      <xdr:row>6</xdr:row>
      <xdr:rowOff>49500</xdr:rowOff>
    </xdr:from>
    <xdr:to>
      <xdr:col>20</xdr:col>
      <xdr:colOff>261851</xdr:colOff>
      <xdr:row>6</xdr:row>
      <xdr:rowOff>66060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88" name="Ink 187"/>
            <xdr14:cNvContentPartPr/>
          </xdr14:nvContentPartPr>
          <xdr14:nvPr macro=""/>
          <xdr14:xfrm>
            <a:off x="8898229" y="1585406"/>
            <a:ext cx="7560" cy="16560"/>
          </xdr14:xfrm>
        </xdr:contentPart>
      </mc:Choice>
      <mc:Fallback xmlns="">
        <xdr:pic>
          <xdr:nvPicPr>
            <xdr:cNvPr id="188" name="Ink 187"/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8893189" y="1578566"/>
              <a:ext cx="18000" cy="28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</xdr:colOff>
      <xdr:row>13</xdr:row>
      <xdr:rowOff>192882</xdr:rowOff>
    </xdr:from>
    <xdr:to>
      <xdr:col>12</xdr:col>
      <xdr:colOff>411956</xdr:colOff>
      <xdr:row>23</xdr:row>
      <xdr:rowOff>145257</xdr:rowOff>
    </xdr:to>
    <xdr:grpSp>
      <xdr:nvGrpSpPr>
        <xdr:cNvPr id="2" name="Group 1"/>
        <xdr:cNvGrpSpPr/>
      </xdr:nvGrpSpPr>
      <xdr:grpSpPr>
        <a:xfrm>
          <a:off x="1326356" y="3502820"/>
          <a:ext cx="3300413" cy="2547937"/>
          <a:chOff x="1326356" y="3157538"/>
          <a:chExt cx="3300413" cy="2333625"/>
        </a:xfrm>
      </xdr:grpSpPr>
      <xdr:grpSp>
        <xdr:nvGrpSpPr>
          <xdr:cNvPr id="3" name="Group 2"/>
          <xdr:cNvGrpSpPr/>
        </xdr:nvGrpSpPr>
        <xdr:grpSpPr>
          <a:xfrm>
            <a:off x="1326356" y="3157538"/>
            <a:ext cx="3300413" cy="2333625"/>
            <a:chOff x="1276350" y="3324225"/>
            <a:chExt cx="3295650" cy="2333625"/>
          </a:xfrm>
        </xdr:grpSpPr>
        <xdr:grpSp>
          <xdr:nvGrpSpPr>
            <xdr:cNvPr id="5" name="Group 4"/>
            <xdr:cNvGrpSpPr/>
          </xdr:nvGrpSpPr>
          <xdr:grpSpPr>
            <a:xfrm>
              <a:off x="1276350" y="3324225"/>
              <a:ext cx="3295650" cy="2333625"/>
              <a:chOff x="533400" y="1390604"/>
              <a:chExt cx="8001000" cy="4894418"/>
            </a:xfrm>
          </xdr:grpSpPr>
          <xdr:grpSp>
            <xdr:nvGrpSpPr>
              <xdr:cNvPr id="7" name="Group 6"/>
              <xdr:cNvGrpSpPr/>
            </xdr:nvGrpSpPr>
            <xdr:grpSpPr>
              <a:xfrm>
                <a:off x="533400" y="1390604"/>
                <a:ext cx="8001000" cy="4894418"/>
                <a:chOff x="533400" y="1390604"/>
                <a:chExt cx="8001000" cy="4894418"/>
              </a:xfrm>
            </xdr:grpSpPr>
            <xdr:sp macro="" textlink="">
              <xdr:nvSpPr>
                <xdr:cNvPr id="22" name="Oval 21"/>
                <xdr:cNvSpPr/>
              </xdr:nvSpPr>
              <xdr:spPr>
                <a:xfrm>
                  <a:off x="685800" y="1741597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A</a:t>
                  </a:r>
                </a:p>
              </xdr:txBody>
            </xdr:sp>
            <xdr:sp macro="" textlink="">
              <xdr:nvSpPr>
                <xdr:cNvPr id="23" name="Oval 22"/>
                <xdr:cNvSpPr/>
              </xdr:nvSpPr>
              <xdr:spPr>
                <a:xfrm>
                  <a:off x="2057400" y="190500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B</a:t>
                  </a:r>
                </a:p>
              </xdr:txBody>
            </xdr:sp>
            <xdr:sp macro="" textlink="">
              <xdr:nvSpPr>
                <xdr:cNvPr id="24" name="Oval 23"/>
                <xdr:cNvSpPr/>
              </xdr:nvSpPr>
              <xdr:spPr>
                <a:xfrm>
                  <a:off x="2056722" y="4070875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C</a:t>
                  </a:r>
                </a:p>
              </xdr:txBody>
            </xdr:sp>
            <xdr:sp macro="" textlink="">
              <xdr:nvSpPr>
                <xdr:cNvPr id="25" name="Oval 24"/>
                <xdr:cNvSpPr/>
              </xdr:nvSpPr>
              <xdr:spPr>
                <a:xfrm>
                  <a:off x="4495800" y="430530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F</a:t>
                  </a:r>
                </a:p>
              </xdr:txBody>
            </xdr:sp>
            <xdr:sp macro="" textlink="">
              <xdr:nvSpPr>
                <xdr:cNvPr id="26" name="Oval 25"/>
                <xdr:cNvSpPr/>
              </xdr:nvSpPr>
              <xdr:spPr>
                <a:xfrm>
                  <a:off x="533400" y="525780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D</a:t>
                  </a:r>
                </a:p>
              </xdr:txBody>
            </xdr:sp>
            <xdr:sp macro="" textlink="">
              <xdr:nvSpPr>
                <xdr:cNvPr id="27" name="Oval 26"/>
                <xdr:cNvSpPr/>
              </xdr:nvSpPr>
              <xdr:spPr>
                <a:xfrm>
                  <a:off x="5867400" y="2845065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H</a:t>
                  </a:r>
                </a:p>
              </xdr:txBody>
            </xdr:sp>
            <xdr:sp macro="" textlink="">
              <xdr:nvSpPr>
                <xdr:cNvPr id="28" name="Oval 27"/>
                <xdr:cNvSpPr/>
              </xdr:nvSpPr>
              <xdr:spPr>
                <a:xfrm>
                  <a:off x="5257800" y="5599222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E</a:t>
                  </a:r>
                </a:p>
              </xdr:txBody>
            </xdr:sp>
            <xdr:sp macro="" textlink="">
              <xdr:nvSpPr>
                <xdr:cNvPr id="29" name="Oval 28"/>
                <xdr:cNvSpPr/>
              </xdr:nvSpPr>
              <xdr:spPr>
                <a:xfrm>
                  <a:off x="4343400" y="163830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G</a:t>
                  </a:r>
                </a:p>
              </xdr:txBody>
            </xdr:sp>
            <xdr:sp macro="" textlink="">
              <xdr:nvSpPr>
                <xdr:cNvPr id="30" name="Oval 29"/>
                <xdr:cNvSpPr/>
              </xdr:nvSpPr>
              <xdr:spPr>
                <a:xfrm>
                  <a:off x="7772400" y="436985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J</a:t>
                  </a:r>
                </a:p>
              </xdr:txBody>
            </xdr:sp>
            <xdr:sp macro="" textlink="">
              <xdr:nvSpPr>
                <xdr:cNvPr id="31" name="Oval 30"/>
                <xdr:cNvSpPr/>
              </xdr:nvSpPr>
              <xdr:spPr>
                <a:xfrm>
                  <a:off x="7620000" y="1390604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I</a:t>
                  </a:r>
                </a:p>
              </xdr:txBody>
            </xdr:sp>
          </xdr:grpSp>
          <xdr:grpSp>
            <xdr:nvGrpSpPr>
              <xdr:cNvPr id="8" name="Group 7"/>
              <xdr:cNvGrpSpPr/>
            </xdr:nvGrpSpPr>
            <xdr:grpSpPr>
              <a:xfrm>
                <a:off x="914401" y="1491037"/>
                <a:ext cx="7239000" cy="4451085"/>
                <a:chOff x="914401" y="1491037"/>
                <a:chExt cx="7239000" cy="4451085"/>
              </a:xfrm>
            </xdr:grpSpPr>
            <xdr:cxnSp macro="">
              <xdr:nvCxnSpPr>
                <xdr:cNvPr id="9" name="Straight Arrow Connector 8"/>
                <xdr:cNvCxnSpPr>
                  <a:stCxn id="22" idx="6"/>
                </xdr:cNvCxnSpPr>
              </xdr:nvCxnSpPr>
              <xdr:spPr>
                <a:xfrm>
                  <a:off x="1447801" y="2084496"/>
                  <a:ext cx="609599" cy="114300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0" name="Straight Arrow Connector 9"/>
                <xdr:cNvCxnSpPr>
                  <a:stCxn id="24" idx="6"/>
                  <a:endCxn id="25" idx="2"/>
                </xdr:cNvCxnSpPr>
              </xdr:nvCxnSpPr>
              <xdr:spPr>
                <a:xfrm>
                  <a:off x="2818723" y="4413775"/>
                  <a:ext cx="1677078" cy="234425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" name="Straight Arrow Connector 10"/>
                <xdr:cNvCxnSpPr>
                  <a:endCxn id="24" idx="1"/>
                </xdr:cNvCxnSpPr>
              </xdr:nvCxnSpPr>
              <xdr:spPr>
                <a:xfrm>
                  <a:off x="1227347" y="2368025"/>
                  <a:ext cx="940968" cy="1803283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2" name="Straight Arrow Connector 11"/>
                <xdr:cNvCxnSpPr>
                  <a:endCxn id="26" idx="0"/>
                </xdr:cNvCxnSpPr>
              </xdr:nvCxnSpPr>
              <xdr:spPr>
                <a:xfrm flipH="1">
                  <a:off x="914401" y="2427397"/>
                  <a:ext cx="151046" cy="2830402"/>
                </a:xfrm>
                <a:prstGeom prst="straightConnector1">
                  <a:avLst/>
                </a:prstGeom>
                <a:ln>
                  <a:headEnd type="triangle" w="med" len="med"/>
                  <a:tailEnd type="triangle" w="med" len="med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3" name="Straight Arrow Connector 12"/>
                <xdr:cNvCxnSpPr>
                  <a:endCxn id="24" idx="0"/>
                </xdr:cNvCxnSpPr>
              </xdr:nvCxnSpPr>
              <xdr:spPr>
                <a:xfrm>
                  <a:off x="2330215" y="2606940"/>
                  <a:ext cx="107508" cy="1463935"/>
                </a:xfrm>
                <a:prstGeom prst="straightConnector1">
                  <a:avLst/>
                </a:prstGeom>
                <a:ln>
                  <a:headEnd type="triangle" w="med" len="med"/>
                  <a:tailEnd type="triangle" w="med" len="med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4" name="Straight Arrow Connector 13"/>
                <xdr:cNvCxnSpPr>
                  <a:stCxn id="28" idx="2"/>
                </xdr:cNvCxnSpPr>
              </xdr:nvCxnSpPr>
              <xdr:spPr>
                <a:xfrm flipH="1" flipV="1">
                  <a:off x="1287108" y="5748014"/>
                  <a:ext cx="3970693" cy="194108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" name="Straight Arrow Connector 14"/>
                <xdr:cNvCxnSpPr>
                  <a:stCxn id="29" idx="4"/>
                </xdr:cNvCxnSpPr>
              </xdr:nvCxnSpPr>
              <xdr:spPr>
                <a:xfrm>
                  <a:off x="4724401" y="2324100"/>
                  <a:ext cx="107506" cy="1984900"/>
                </a:xfrm>
                <a:prstGeom prst="straightConnector1">
                  <a:avLst/>
                </a:prstGeom>
                <a:ln>
                  <a:headEnd type="triangle" w="med" len="med"/>
                  <a:tailEnd type="triangle" w="med" len="med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6" name="Straight Arrow Connector 15"/>
                <xdr:cNvCxnSpPr>
                  <a:endCxn id="30" idx="0"/>
                </xdr:cNvCxnSpPr>
              </xdr:nvCxnSpPr>
              <xdr:spPr>
                <a:xfrm>
                  <a:off x="8007139" y="2066288"/>
                  <a:ext cx="146262" cy="2303561"/>
                </a:xfrm>
                <a:prstGeom prst="straightConnector1">
                  <a:avLst/>
                </a:prstGeom>
                <a:ln>
                  <a:headEnd type="triangle" w="med" len="med"/>
                  <a:tailEnd type="triangle" w="med" len="med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7" name="Straight Arrow Connector 16"/>
                <xdr:cNvCxnSpPr>
                  <a:endCxn id="27" idx="1"/>
                </xdr:cNvCxnSpPr>
              </xdr:nvCxnSpPr>
              <xdr:spPr>
                <a:xfrm>
                  <a:off x="5038725" y="2114551"/>
                  <a:ext cx="940268" cy="830948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8" name="Straight Arrow Connector 17"/>
                <xdr:cNvCxnSpPr>
                  <a:endCxn id="31" idx="2"/>
                </xdr:cNvCxnSpPr>
              </xdr:nvCxnSpPr>
              <xdr:spPr>
                <a:xfrm flipV="1">
                  <a:off x="5079533" y="1733504"/>
                  <a:ext cx="2540468" cy="211022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9" name="Straight Arrow Connector 18"/>
                <xdr:cNvCxnSpPr>
                  <a:endCxn id="27" idx="7"/>
                </xdr:cNvCxnSpPr>
              </xdr:nvCxnSpPr>
              <xdr:spPr>
                <a:xfrm flipH="1">
                  <a:off x="6517809" y="1934724"/>
                  <a:ext cx="1165458" cy="1010774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0" name="Straight Arrow Connector 19"/>
                <xdr:cNvCxnSpPr>
                  <a:stCxn id="26" idx="6"/>
                </xdr:cNvCxnSpPr>
              </xdr:nvCxnSpPr>
              <xdr:spPr>
                <a:xfrm flipV="1">
                  <a:off x="1295401" y="4891552"/>
                  <a:ext cx="6550547" cy="709147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1" name="Curved Connector 20"/>
                <xdr:cNvCxnSpPr>
                  <a:stCxn id="23" idx="7"/>
                  <a:endCxn id="31" idx="1"/>
                </xdr:cNvCxnSpPr>
              </xdr:nvCxnSpPr>
              <xdr:spPr>
                <a:xfrm rot="5400000" flipH="1" flipV="1">
                  <a:off x="4962503" y="-763657"/>
                  <a:ext cx="514395" cy="5023784"/>
                </a:xfrm>
                <a:prstGeom prst="curvedConnector3">
                  <a:avLst>
                    <a:gd name="adj1" fmla="val 171365"/>
                  </a:avLst>
                </a:prstGeom>
                <a:ln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</xdr:grpSp>
        </xdr:grpSp>
        <xdr:cxnSp macro="">
          <xdr:nvCxnSpPr>
            <xdr:cNvPr id="6" name="Straight Arrow Connector 5"/>
            <xdr:cNvCxnSpPr>
              <a:stCxn id="27" idx="3"/>
              <a:endCxn id="25" idx="7"/>
            </xdr:cNvCxnSpPr>
          </xdr:nvCxnSpPr>
          <xdr:spPr>
            <a:xfrm flipH="1">
              <a:off x="3176387" y="4296801"/>
              <a:ext cx="343028" cy="465017"/>
            </a:xfrm>
            <a:prstGeom prst="straightConnector1">
              <a:avLst/>
            </a:prstGeom>
            <a:ln>
              <a:solidFill>
                <a:schemeClr val="tx1"/>
              </a:solidFill>
              <a:tailEnd type="triangle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Arrow Connector 3"/>
          <xdr:cNvCxnSpPr>
            <a:endCxn id="28" idx="6"/>
          </xdr:cNvCxnSpPr>
        </xdr:nvCxnSpPr>
        <xdr:spPr>
          <a:xfrm flipH="1">
            <a:off x="3589496" y="4872038"/>
            <a:ext cx="783103" cy="455633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333375</xdr:colOff>
      <xdr:row>0</xdr:row>
      <xdr:rowOff>250028</xdr:rowOff>
    </xdr:from>
    <xdr:to>
      <xdr:col>34</xdr:col>
      <xdr:colOff>707232</xdr:colOff>
      <xdr:row>17</xdr:row>
      <xdr:rowOff>202403</xdr:rowOff>
    </xdr:to>
    <xdr:grpSp>
      <xdr:nvGrpSpPr>
        <xdr:cNvPr id="32" name="Group 31"/>
        <xdr:cNvGrpSpPr/>
      </xdr:nvGrpSpPr>
      <xdr:grpSpPr>
        <a:xfrm>
          <a:off x="15644813" y="250028"/>
          <a:ext cx="5088732" cy="4429125"/>
          <a:chOff x="1326356" y="3157538"/>
          <a:chExt cx="3300413" cy="2333625"/>
        </a:xfrm>
      </xdr:grpSpPr>
      <xdr:grpSp>
        <xdr:nvGrpSpPr>
          <xdr:cNvPr id="33" name="Group 32"/>
          <xdr:cNvGrpSpPr/>
        </xdr:nvGrpSpPr>
        <xdr:grpSpPr>
          <a:xfrm>
            <a:off x="1326356" y="3157538"/>
            <a:ext cx="3300413" cy="2333625"/>
            <a:chOff x="1276350" y="3324225"/>
            <a:chExt cx="3295650" cy="2333625"/>
          </a:xfrm>
        </xdr:grpSpPr>
        <xdr:grpSp>
          <xdr:nvGrpSpPr>
            <xdr:cNvPr id="35" name="Group 34"/>
            <xdr:cNvGrpSpPr/>
          </xdr:nvGrpSpPr>
          <xdr:grpSpPr>
            <a:xfrm>
              <a:off x="1276350" y="3324225"/>
              <a:ext cx="3295650" cy="2333625"/>
              <a:chOff x="533400" y="1390604"/>
              <a:chExt cx="8001000" cy="4894418"/>
            </a:xfrm>
          </xdr:grpSpPr>
          <xdr:grpSp>
            <xdr:nvGrpSpPr>
              <xdr:cNvPr id="37" name="Group 36"/>
              <xdr:cNvGrpSpPr/>
            </xdr:nvGrpSpPr>
            <xdr:grpSpPr>
              <a:xfrm>
                <a:off x="533400" y="1390604"/>
                <a:ext cx="8001000" cy="4894418"/>
                <a:chOff x="533400" y="1390604"/>
                <a:chExt cx="8001000" cy="4894418"/>
              </a:xfrm>
            </xdr:grpSpPr>
            <xdr:sp macro="" textlink="">
              <xdr:nvSpPr>
                <xdr:cNvPr id="52" name="Oval 51"/>
                <xdr:cNvSpPr/>
              </xdr:nvSpPr>
              <xdr:spPr>
                <a:xfrm>
                  <a:off x="685800" y="1741597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A</a:t>
                  </a:r>
                </a:p>
              </xdr:txBody>
            </xdr:sp>
            <xdr:sp macro="" textlink="">
              <xdr:nvSpPr>
                <xdr:cNvPr id="53" name="Oval 52"/>
                <xdr:cNvSpPr/>
              </xdr:nvSpPr>
              <xdr:spPr>
                <a:xfrm>
                  <a:off x="2057400" y="190500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B</a:t>
                  </a:r>
                </a:p>
              </xdr:txBody>
            </xdr:sp>
            <xdr:sp macro="" textlink="">
              <xdr:nvSpPr>
                <xdr:cNvPr id="54" name="Oval 53"/>
                <xdr:cNvSpPr/>
              </xdr:nvSpPr>
              <xdr:spPr>
                <a:xfrm>
                  <a:off x="2056722" y="4070875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C</a:t>
                  </a:r>
                </a:p>
              </xdr:txBody>
            </xdr:sp>
            <xdr:sp macro="" textlink="">
              <xdr:nvSpPr>
                <xdr:cNvPr id="55" name="Oval 54"/>
                <xdr:cNvSpPr/>
              </xdr:nvSpPr>
              <xdr:spPr>
                <a:xfrm>
                  <a:off x="4495800" y="430530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F</a:t>
                  </a:r>
                </a:p>
              </xdr:txBody>
            </xdr:sp>
            <xdr:sp macro="" textlink="">
              <xdr:nvSpPr>
                <xdr:cNvPr id="56" name="Oval 55"/>
                <xdr:cNvSpPr/>
              </xdr:nvSpPr>
              <xdr:spPr>
                <a:xfrm>
                  <a:off x="533400" y="525780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D</a:t>
                  </a:r>
                </a:p>
              </xdr:txBody>
            </xdr:sp>
            <xdr:sp macro="" textlink="">
              <xdr:nvSpPr>
                <xdr:cNvPr id="57" name="Oval 56"/>
                <xdr:cNvSpPr/>
              </xdr:nvSpPr>
              <xdr:spPr>
                <a:xfrm>
                  <a:off x="5867400" y="2845065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H</a:t>
                  </a:r>
                </a:p>
              </xdr:txBody>
            </xdr:sp>
            <xdr:sp macro="" textlink="">
              <xdr:nvSpPr>
                <xdr:cNvPr id="58" name="Oval 57"/>
                <xdr:cNvSpPr/>
              </xdr:nvSpPr>
              <xdr:spPr>
                <a:xfrm>
                  <a:off x="5257800" y="5599222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E</a:t>
                  </a:r>
                </a:p>
              </xdr:txBody>
            </xdr:sp>
            <xdr:sp macro="" textlink="">
              <xdr:nvSpPr>
                <xdr:cNvPr id="59" name="Oval 58"/>
                <xdr:cNvSpPr/>
              </xdr:nvSpPr>
              <xdr:spPr>
                <a:xfrm>
                  <a:off x="4343400" y="163830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G</a:t>
                  </a:r>
                </a:p>
              </xdr:txBody>
            </xdr:sp>
            <xdr:sp macro="" textlink="">
              <xdr:nvSpPr>
                <xdr:cNvPr id="60" name="Oval 59"/>
                <xdr:cNvSpPr/>
              </xdr:nvSpPr>
              <xdr:spPr>
                <a:xfrm>
                  <a:off x="7772400" y="436985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J</a:t>
                  </a:r>
                </a:p>
              </xdr:txBody>
            </xdr:sp>
            <xdr:sp macro="" textlink="">
              <xdr:nvSpPr>
                <xdr:cNvPr id="61" name="Oval 60"/>
                <xdr:cNvSpPr/>
              </xdr:nvSpPr>
              <xdr:spPr>
                <a:xfrm>
                  <a:off x="7620000" y="1390604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I</a:t>
                  </a:r>
                </a:p>
              </xdr:txBody>
            </xdr:sp>
          </xdr:grpSp>
          <xdr:grpSp>
            <xdr:nvGrpSpPr>
              <xdr:cNvPr id="38" name="Group 37"/>
              <xdr:cNvGrpSpPr/>
            </xdr:nvGrpSpPr>
            <xdr:grpSpPr>
              <a:xfrm>
                <a:off x="914401" y="1491037"/>
                <a:ext cx="7239000" cy="4451085"/>
                <a:chOff x="914401" y="1491037"/>
                <a:chExt cx="7239000" cy="4451085"/>
              </a:xfrm>
            </xdr:grpSpPr>
            <xdr:cxnSp macro="">
              <xdr:nvCxnSpPr>
                <xdr:cNvPr id="39" name="Straight Arrow Connector 38"/>
                <xdr:cNvCxnSpPr>
                  <a:stCxn id="52" idx="6"/>
                </xdr:cNvCxnSpPr>
              </xdr:nvCxnSpPr>
              <xdr:spPr>
                <a:xfrm>
                  <a:off x="1447801" y="2084496"/>
                  <a:ext cx="609599" cy="114300"/>
                </a:xfrm>
                <a:prstGeom prst="straightConnector1">
                  <a:avLst/>
                </a:prstGeom>
                <a:ln>
                  <a:tailEnd type="non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0" name="Straight Arrow Connector 39"/>
                <xdr:cNvCxnSpPr>
                  <a:stCxn id="54" idx="6"/>
                  <a:endCxn id="55" idx="2"/>
                </xdr:cNvCxnSpPr>
              </xdr:nvCxnSpPr>
              <xdr:spPr>
                <a:xfrm>
                  <a:off x="2818723" y="4413775"/>
                  <a:ext cx="1677078" cy="234425"/>
                </a:xfrm>
                <a:prstGeom prst="straightConnector1">
                  <a:avLst/>
                </a:prstGeom>
                <a:ln>
                  <a:tailEnd type="non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1" name="Straight Arrow Connector 40"/>
                <xdr:cNvCxnSpPr>
                  <a:endCxn id="54" idx="1"/>
                </xdr:cNvCxnSpPr>
              </xdr:nvCxnSpPr>
              <xdr:spPr>
                <a:xfrm>
                  <a:off x="1227347" y="2368025"/>
                  <a:ext cx="940968" cy="1803283"/>
                </a:xfrm>
                <a:prstGeom prst="straightConnector1">
                  <a:avLst/>
                </a:prstGeom>
                <a:ln>
                  <a:tailEnd type="non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2" name="Straight Arrow Connector 41"/>
                <xdr:cNvCxnSpPr>
                  <a:endCxn id="56" idx="0"/>
                </xdr:cNvCxnSpPr>
              </xdr:nvCxnSpPr>
              <xdr:spPr>
                <a:xfrm flipH="1">
                  <a:off x="914401" y="2427397"/>
                  <a:ext cx="151046" cy="2830402"/>
                </a:xfrm>
                <a:prstGeom prst="straightConnector1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3" name="Straight Arrow Connector 42"/>
                <xdr:cNvCxnSpPr>
                  <a:endCxn id="54" idx="0"/>
                </xdr:cNvCxnSpPr>
              </xdr:nvCxnSpPr>
              <xdr:spPr>
                <a:xfrm>
                  <a:off x="2330215" y="2606940"/>
                  <a:ext cx="107508" cy="1463935"/>
                </a:xfrm>
                <a:prstGeom prst="straightConnector1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4" name="Straight Arrow Connector 43"/>
                <xdr:cNvCxnSpPr>
                  <a:stCxn id="58" idx="2"/>
                </xdr:cNvCxnSpPr>
              </xdr:nvCxnSpPr>
              <xdr:spPr>
                <a:xfrm flipH="1" flipV="1">
                  <a:off x="1287108" y="5748014"/>
                  <a:ext cx="3970693" cy="194108"/>
                </a:xfrm>
                <a:prstGeom prst="straightConnector1">
                  <a:avLst/>
                </a:prstGeom>
                <a:ln>
                  <a:tailEnd type="non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5" name="Straight Arrow Connector 44"/>
                <xdr:cNvCxnSpPr>
                  <a:stCxn id="59" idx="4"/>
                </xdr:cNvCxnSpPr>
              </xdr:nvCxnSpPr>
              <xdr:spPr>
                <a:xfrm>
                  <a:off x="4724401" y="2324100"/>
                  <a:ext cx="107506" cy="1984900"/>
                </a:xfrm>
                <a:prstGeom prst="straightConnector1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6" name="Straight Arrow Connector 45"/>
                <xdr:cNvCxnSpPr>
                  <a:endCxn id="60" idx="0"/>
                </xdr:cNvCxnSpPr>
              </xdr:nvCxnSpPr>
              <xdr:spPr>
                <a:xfrm>
                  <a:off x="8007139" y="2066288"/>
                  <a:ext cx="146262" cy="2303561"/>
                </a:xfrm>
                <a:prstGeom prst="straightConnector1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7" name="Straight Arrow Connector 46"/>
                <xdr:cNvCxnSpPr>
                  <a:endCxn id="57" idx="1"/>
                </xdr:cNvCxnSpPr>
              </xdr:nvCxnSpPr>
              <xdr:spPr>
                <a:xfrm>
                  <a:off x="5038725" y="2114551"/>
                  <a:ext cx="940268" cy="830948"/>
                </a:xfrm>
                <a:prstGeom prst="straightConnector1">
                  <a:avLst/>
                </a:prstGeom>
                <a:ln>
                  <a:tailEnd type="non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8" name="Straight Arrow Connector 47"/>
                <xdr:cNvCxnSpPr>
                  <a:endCxn id="61" idx="2"/>
                </xdr:cNvCxnSpPr>
              </xdr:nvCxnSpPr>
              <xdr:spPr>
                <a:xfrm flipV="1">
                  <a:off x="5079533" y="1733504"/>
                  <a:ext cx="2540468" cy="211022"/>
                </a:xfrm>
                <a:prstGeom prst="straightConnector1">
                  <a:avLst/>
                </a:prstGeom>
                <a:ln>
                  <a:tailEnd type="non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9" name="Straight Arrow Connector 48"/>
                <xdr:cNvCxnSpPr>
                  <a:endCxn id="57" idx="7"/>
                </xdr:cNvCxnSpPr>
              </xdr:nvCxnSpPr>
              <xdr:spPr>
                <a:xfrm flipH="1">
                  <a:off x="6517809" y="1934724"/>
                  <a:ext cx="1165458" cy="1010774"/>
                </a:xfrm>
                <a:prstGeom prst="straightConnector1">
                  <a:avLst/>
                </a:prstGeom>
                <a:ln>
                  <a:tailEnd type="non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0" name="Straight Arrow Connector 49"/>
                <xdr:cNvCxnSpPr>
                  <a:stCxn id="56" idx="6"/>
                </xdr:cNvCxnSpPr>
              </xdr:nvCxnSpPr>
              <xdr:spPr>
                <a:xfrm flipV="1">
                  <a:off x="1295401" y="4891552"/>
                  <a:ext cx="6550547" cy="709147"/>
                </a:xfrm>
                <a:prstGeom prst="straightConnector1">
                  <a:avLst/>
                </a:prstGeom>
                <a:ln>
                  <a:tailEnd type="non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1" name="Curved Connector 50"/>
                <xdr:cNvCxnSpPr>
                  <a:stCxn id="53" idx="7"/>
                  <a:endCxn id="61" idx="1"/>
                </xdr:cNvCxnSpPr>
              </xdr:nvCxnSpPr>
              <xdr:spPr>
                <a:xfrm rot="5400000" flipH="1" flipV="1">
                  <a:off x="4962503" y="-763657"/>
                  <a:ext cx="514395" cy="5023784"/>
                </a:xfrm>
                <a:prstGeom prst="curvedConnector3">
                  <a:avLst>
                    <a:gd name="adj1" fmla="val 171365"/>
                  </a:avLst>
                </a:prstGeom>
                <a:ln>
                  <a:tailEnd type="non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</xdr:grpSp>
        </xdr:grpSp>
        <xdr:cxnSp macro="">
          <xdr:nvCxnSpPr>
            <xdr:cNvPr id="36" name="Straight Arrow Connector 35"/>
            <xdr:cNvCxnSpPr>
              <a:stCxn id="57" idx="3"/>
              <a:endCxn id="55" idx="7"/>
            </xdr:cNvCxnSpPr>
          </xdr:nvCxnSpPr>
          <xdr:spPr>
            <a:xfrm flipH="1">
              <a:off x="3176387" y="4296801"/>
              <a:ext cx="343028" cy="465017"/>
            </a:xfrm>
            <a:prstGeom prst="straightConnector1">
              <a:avLst/>
            </a:prstGeom>
            <a:ln>
              <a:solidFill>
                <a:schemeClr val="tx1"/>
              </a:solidFill>
              <a:tailEnd type="none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" name="Straight Arrow Connector 33"/>
          <xdr:cNvCxnSpPr>
            <a:endCxn id="58" idx="6"/>
          </xdr:cNvCxnSpPr>
        </xdr:nvCxnSpPr>
        <xdr:spPr>
          <a:xfrm flipH="1">
            <a:off x="3589496" y="4872038"/>
            <a:ext cx="783103" cy="455633"/>
          </a:xfrm>
          <a:prstGeom prst="straightConnector1">
            <a:avLst/>
          </a:prstGeom>
          <a:ln>
            <a:solidFill>
              <a:schemeClr val="tx1"/>
            </a:solidFill>
            <a:tailEnd type="non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202404</xdr:colOff>
      <xdr:row>17</xdr:row>
      <xdr:rowOff>47625</xdr:rowOff>
    </xdr:from>
    <xdr:to>
      <xdr:col>23</xdr:col>
      <xdr:colOff>428623</xdr:colOff>
      <xdr:row>32</xdr:row>
      <xdr:rowOff>107157</xdr:rowOff>
    </xdr:to>
    <xdr:grpSp>
      <xdr:nvGrpSpPr>
        <xdr:cNvPr id="62" name="Group 61"/>
        <xdr:cNvGrpSpPr/>
      </xdr:nvGrpSpPr>
      <xdr:grpSpPr>
        <a:xfrm>
          <a:off x="7631904" y="4524375"/>
          <a:ext cx="5083969" cy="3631407"/>
          <a:chOff x="1326356" y="3157538"/>
          <a:chExt cx="3300413" cy="2333625"/>
        </a:xfrm>
      </xdr:grpSpPr>
      <xdr:grpSp>
        <xdr:nvGrpSpPr>
          <xdr:cNvPr id="63" name="Group 62"/>
          <xdr:cNvGrpSpPr/>
        </xdr:nvGrpSpPr>
        <xdr:grpSpPr>
          <a:xfrm>
            <a:off x="1326356" y="3157538"/>
            <a:ext cx="3300413" cy="2333625"/>
            <a:chOff x="1276350" y="3324225"/>
            <a:chExt cx="3295650" cy="2333625"/>
          </a:xfrm>
        </xdr:grpSpPr>
        <xdr:grpSp>
          <xdr:nvGrpSpPr>
            <xdr:cNvPr id="65" name="Group 64"/>
            <xdr:cNvGrpSpPr/>
          </xdr:nvGrpSpPr>
          <xdr:grpSpPr>
            <a:xfrm>
              <a:off x="1276350" y="3324225"/>
              <a:ext cx="3295650" cy="2333625"/>
              <a:chOff x="533400" y="1390604"/>
              <a:chExt cx="8001000" cy="4894418"/>
            </a:xfrm>
          </xdr:grpSpPr>
          <xdr:grpSp>
            <xdr:nvGrpSpPr>
              <xdr:cNvPr id="67" name="Group 66"/>
              <xdr:cNvGrpSpPr/>
            </xdr:nvGrpSpPr>
            <xdr:grpSpPr>
              <a:xfrm>
                <a:off x="533400" y="1390604"/>
                <a:ext cx="8001000" cy="4894418"/>
                <a:chOff x="533400" y="1390604"/>
                <a:chExt cx="8001000" cy="4894418"/>
              </a:xfrm>
            </xdr:grpSpPr>
            <xdr:sp macro="" textlink="">
              <xdr:nvSpPr>
                <xdr:cNvPr id="82" name="Oval 81"/>
                <xdr:cNvSpPr/>
              </xdr:nvSpPr>
              <xdr:spPr>
                <a:xfrm>
                  <a:off x="685800" y="1741597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A</a:t>
                  </a:r>
                </a:p>
              </xdr:txBody>
            </xdr:sp>
            <xdr:sp macro="" textlink="">
              <xdr:nvSpPr>
                <xdr:cNvPr id="83" name="Oval 82"/>
                <xdr:cNvSpPr/>
              </xdr:nvSpPr>
              <xdr:spPr>
                <a:xfrm>
                  <a:off x="2057400" y="190500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B</a:t>
                  </a:r>
                </a:p>
              </xdr:txBody>
            </xdr:sp>
            <xdr:sp macro="" textlink="">
              <xdr:nvSpPr>
                <xdr:cNvPr id="84" name="Oval 83"/>
                <xdr:cNvSpPr/>
              </xdr:nvSpPr>
              <xdr:spPr>
                <a:xfrm>
                  <a:off x="2056722" y="4070875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C</a:t>
                  </a:r>
                </a:p>
              </xdr:txBody>
            </xdr:sp>
            <xdr:sp macro="" textlink="">
              <xdr:nvSpPr>
                <xdr:cNvPr id="85" name="Oval 84"/>
                <xdr:cNvSpPr/>
              </xdr:nvSpPr>
              <xdr:spPr>
                <a:xfrm>
                  <a:off x="4495800" y="430530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F</a:t>
                  </a:r>
                </a:p>
              </xdr:txBody>
            </xdr:sp>
            <xdr:sp macro="" textlink="">
              <xdr:nvSpPr>
                <xdr:cNvPr id="86" name="Oval 85"/>
                <xdr:cNvSpPr/>
              </xdr:nvSpPr>
              <xdr:spPr>
                <a:xfrm>
                  <a:off x="533400" y="525780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D</a:t>
                  </a:r>
                </a:p>
              </xdr:txBody>
            </xdr:sp>
            <xdr:sp macro="" textlink="">
              <xdr:nvSpPr>
                <xdr:cNvPr id="87" name="Oval 86"/>
                <xdr:cNvSpPr/>
              </xdr:nvSpPr>
              <xdr:spPr>
                <a:xfrm>
                  <a:off x="5867400" y="2845065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H</a:t>
                  </a:r>
                </a:p>
              </xdr:txBody>
            </xdr:sp>
            <xdr:sp macro="" textlink="">
              <xdr:nvSpPr>
                <xdr:cNvPr id="88" name="Oval 87"/>
                <xdr:cNvSpPr/>
              </xdr:nvSpPr>
              <xdr:spPr>
                <a:xfrm>
                  <a:off x="5257800" y="5599222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E</a:t>
                  </a:r>
                </a:p>
              </xdr:txBody>
            </xdr:sp>
            <xdr:sp macro="" textlink="">
              <xdr:nvSpPr>
                <xdr:cNvPr id="89" name="Oval 88"/>
                <xdr:cNvSpPr/>
              </xdr:nvSpPr>
              <xdr:spPr>
                <a:xfrm>
                  <a:off x="4343400" y="163830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G</a:t>
                  </a:r>
                </a:p>
              </xdr:txBody>
            </xdr:sp>
            <xdr:sp macro="" textlink="">
              <xdr:nvSpPr>
                <xdr:cNvPr id="90" name="Oval 89"/>
                <xdr:cNvSpPr/>
              </xdr:nvSpPr>
              <xdr:spPr>
                <a:xfrm>
                  <a:off x="7772400" y="436985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J</a:t>
                  </a:r>
                </a:p>
              </xdr:txBody>
            </xdr:sp>
            <xdr:sp macro="" textlink="">
              <xdr:nvSpPr>
                <xdr:cNvPr id="91" name="Oval 90"/>
                <xdr:cNvSpPr/>
              </xdr:nvSpPr>
              <xdr:spPr>
                <a:xfrm>
                  <a:off x="7620000" y="1390604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I</a:t>
                  </a:r>
                </a:p>
              </xdr:txBody>
            </xdr:sp>
          </xdr:grpSp>
          <xdr:grpSp>
            <xdr:nvGrpSpPr>
              <xdr:cNvPr id="68" name="Group 67"/>
              <xdr:cNvGrpSpPr/>
            </xdr:nvGrpSpPr>
            <xdr:grpSpPr>
              <a:xfrm>
                <a:off x="914401" y="1491037"/>
                <a:ext cx="7239000" cy="4451085"/>
                <a:chOff x="914401" y="1491037"/>
                <a:chExt cx="7239000" cy="4451085"/>
              </a:xfrm>
            </xdr:grpSpPr>
            <xdr:cxnSp macro="">
              <xdr:nvCxnSpPr>
                <xdr:cNvPr id="69" name="Straight Arrow Connector 68"/>
                <xdr:cNvCxnSpPr>
                  <a:stCxn id="82" idx="6"/>
                </xdr:cNvCxnSpPr>
              </xdr:nvCxnSpPr>
              <xdr:spPr>
                <a:xfrm>
                  <a:off x="1447801" y="2084496"/>
                  <a:ext cx="609599" cy="114300"/>
                </a:xfrm>
                <a:prstGeom prst="straightConnector1">
                  <a:avLst/>
                </a:prstGeom>
                <a:ln>
                  <a:tailEnd type="non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0" name="Straight Arrow Connector 69"/>
                <xdr:cNvCxnSpPr>
                  <a:stCxn id="84" idx="6"/>
                  <a:endCxn id="85" idx="2"/>
                </xdr:cNvCxnSpPr>
              </xdr:nvCxnSpPr>
              <xdr:spPr>
                <a:xfrm>
                  <a:off x="2818723" y="4413775"/>
                  <a:ext cx="1677078" cy="234425"/>
                </a:xfrm>
                <a:prstGeom prst="straightConnector1">
                  <a:avLst/>
                </a:prstGeom>
                <a:ln>
                  <a:tailEnd type="non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1" name="Straight Arrow Connector 70"/>
                <xdr:cNvCxnSpPr>
                  <a:endCxn id="84" idx="1"/>
                </xdr:cNvCxnSpPr>
              </xdr:nvCxnSpPr>
              <xdr:spPr>
                <a:xfrm>
                  <a:off x="1227347" y="2368025"/>
                  <a:ext cx="940968" cy="1803283"/>
                </a:xfrm>
                <a:prstGeom prst="straightConnector1">
                  <a:avLst/>
                </a:prstGeom>
                <a:ln>
                  <a:tailEnd type="non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2" name="Straight Arrow Connector 71"/>
                <xdr:cNvCxnSpPr>
                  <a:endCxn id="86" idx="0"/>
                </xdr:cNvCxnSpPr>
              </xdr:nvCxnSpPr>
              <xdr:spPr>
                <a:xfrm flipH="1">
                  <a:off x="914401" y="2427397"/>
                  <a:ext cx="151046" cy="2830402"/>
                </a:xfrm>
                <a:prstGeom prst="straightConnector1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3" name="Straight Arrow Connector 72"/>
                <xdr:cNvCxnSpPr>
                  <a:endCxn id="84" idx="0"/>
                </xdr:cNvCxnSpPr>
              </xdr:nvCxnSpPr>
              <xdr:spPr>
                <a:xfrm>
                  <a:off x="2330215" y="2606940"/>
                  <a:ext cx="107508" cy="1463935"/>
                </a:xfrm>
                <a:prstGeom prst="straightConnector1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4" name="Straight Arrow Connector 73"/>
                <xdr:cNvCxnSpPr>
                  <a:stCxn id="88" idx="2"/>
                </xdr:cNvCxnSpPr>
              </xdr:nvCxnSpPr>
              <xdr:spPr>
                <a:xfrm flipH="1" flipV="1">
                  <a:off x="1287108" y="5748014"/>
                  <a:ext cx="3970693" cy="194108"/>
                </a:xfrm>
                <a:prstGeom prst="straightConnector1">
                  <a:avLst/>
                </a:prstGeom>
                <a:ln>
                  <a:tailEnd type="non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5" name="Straight Arrow Connector 74"/>
                <xdr:cNvCxnSpPr>
                  <a:stCxn id="89" idx="4"/>
                </xdr:cNvCxnSpPr>
              </xdr:nvCxnSpPr>
              <xdr:spPr>
                <a:xfrm>
                  <a:off x="4724401" y="2324100"/>
                  <a:ext cx="107506" cy="1984900"/>
                </a:xfrm>
                <a:prstGeom prst="straightConnector1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6" name="Straight Arrow Connector 75"/>
                <xdr:cNvCxnSpPr>
                  <a:endCxn id="90" idx="0"/>
                </xdr:cNvCxnSpPr>
              </xdr:nvCxnSpPr>
              <xdr:spPr>
                <a:xfrm>
                  <a:off x="8007139" y="2066288"/>
                  <a:ext cx="146262" cy="2303561"/>
                </a:xfrm>
                <a:prstGeom prst="straightConnector1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7" name="Straight Arrow Connector 76"/>
                <xdr:cNvCxnSpPr>
                  <a:endCxn id="87" idx="1"/>
                </xdr:cNvCxnSpPr>
              </xdr:nvCxnSpPr>
              <xdr:spPr>
                <a:xfrm>
                  <a:off x="5038725" y="2114551"/>
                  <a:ext cx="940268" cy="830948"/>
                </a:xfrm>
                <a:prstGeom prst="straightConnector1">
                  <a:avLst/>
                </a:prstGeom>
                <a:ln>
                  <a:tailEnd type="non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8" name="Straight Arrow Connector 77"/>
                <xdr:cNvCxnSpPr>
                  <a:endCxn id="91" idx="2"/>
                </xdr:cNvCxnSpPr>
              </xdr:nvCxnSpPr>
              <xdr:spPr>
                <a:xfrm flipV="1">
                  <a:off x="5079533" y="1733504"/>
                  <a:ext cx="2540468" cy="211022"/>
                </a:xfrm>
                <a:prstGeom prst="straightConnector1">
                  <a:avLst/>
                </a:prstGeom>
                <a:ln>
                  <a:tailEnd type="non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9" name="Straight Arrow Connector 78"/>
                <xdr:cNvCxnSpPr>
                  <a:endCxn id="87" idx="7"/>
                </xdr:cNvCxnSpPr>
              </xdr:nvCxnSpPr>
              <xdr:spPr>
                <a:xfrm flipH="1">
                  <a:off x="6517809" y="1934724"/>
                  <a:ext cx="1165458" cy="1010774"/>
                </a:xfrm>
                <a:prstGeom prst="straightConnector1">
                  <a:avLst/>
                </a:prstGeom>
                <a:ln>
                  <a:tailEnd type="non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80" name="Straight Arrow Connector 79"/>
                <xdr:cNvCxnSpPr>
                  <a:stCxn id="86" idx="6"/>
                </xdr:cNvCxnSpPr>
              </xdr:nvCxnSpPr>
              <xdr:spPr>
                <a:xfrm flipV="1">
                  <a:off x="1295401" y="4891552"/>
                  <a:ext cx="6550547" cy="709147"/>
                </a:xfrm>
                <a:prstGeom prst="straightConnector1">
                  <a:avLst/>
                </a:prstGeom>
                <a:ln>
                  <a:tailEnd type="non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81" name="Curved Connector 80"/>
                <xdr:cNvCxnSpPr>
                  <a:stCxn id="83" idx="7"/>
                  <a:endCxn id="91" idx="1"/>
                </xdr:cNvCxnSpPr>
              </xdr:nvCxnSpPr>
              <xdr:spPr>
                <a:xfrm rot="5400000" flipH="1" flipV="1">
                  <a:off x="4962503" y="-763657"/>
                  <a:ext cx="514395" cy="5023784"/>
                </a:xfrm>
                <a:prstGeom prst="curvedConnector3">
                  <a:avLst>
                    <a:gd name="adj1" fmla="val 171365"/>
                  </a:avLst>
                </a:prstGeom>
                <a:ln>
                  <a:tailEnd type="non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</xdr:grpSp>
        </xdr:grpSp>
        <xdr:cxnSp macro="">
          <xdr:nvCxnSpPr>
            <xdr:cNvPr id="66" name="Straight Arrow Connector 65"/>
            <xdr:cNvCxnSpPr>
              <a:stCxn id="87" idx="3"/>
              <a:endCxn id="85" idx="7"/>
            </xdr:cNvCxnSpPr>
          </xdr:nvCxnSpPr>
          <xdr:spPr>
            <a:xfrm flipH="1">
              <a:off x="3176387" y="4296801"/>
              <a:ext cx="343028" cy="465017"/>
            </a:xfrm>
            <a:prstGeom prst="straightConnector1">
              <a:avLst/>
            </a:prstGeom>
            <a:ln>
              <a:solidFill>
                <a:schemeClr val="tx1"/>
              </a:solidFill>
              <a:tailEnd type="none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64" name="Straight Arrow Connector 63"/>
          <xdr:cNvCxnSpPr>
            <a:endCxn id="88" idx="6"/>
          </xdr:cNvCxnSpPr>
        </xdr:nvCxnSpPr>
        <xdr:spPr>
          <a:xfrm flipH="1">
            <a:off x="3589496" y="4872038"/>
            <a:ext cx="783103" cy="455633"/>
          </a:xfrm>
          <a:prstGeom prst="straightConnector1">
            <a:avLst/>
          </a:prstGeom>
          <a:ln>
            <a:solidFill>
              <a:schemeClr val="tx1"/>
            </a:solidFill>
            <a:tailEnd type="non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773907</xdr:colOff>
      <xdr:row>12</xdr:row>
      <xdr:rowOff>264323</xdr:rowOff>
    </xdr:from>
    <xdr:to>
      <xdr:col>12</xdr:col>
      <xdr:colOff>180975</xdr:colOff>
      <xdr:row>21</xdr:row>
      <xdr:rowOff>142875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13BC0A3-2E28-44CE-A0E0-43106960709D}"/>
            </a:ext>
          </a:extLst>
        </xdr:cNvPr>
        <xdr:cNvGrpSpPr/>
      </xdr:nvGrpSpPr>
      <xdr:grpSpPr>
        <a:xfrm>
          <a:off x="773907" y="3228979"/>
          <a:ext cx="3621881" cy="2557459"/>
          <a:chOff x="1326356" y="3157538"/>
          <a:chExt cx="3300413" cy="2333625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3B01FDDD-E838-4B65-9399-279B370A40A9}"/>
              </a:ext>
            </a:extLst>
          </xdr:cNvPr>
          <xdr:cNvGrpSpPr/>
        </xdr:nvGrpSpPr>
        <xdr:grpSpPr>
          <a:xfrm>
            <a:off x="1326356" y="3157538"/>
            <a:ext cx="3300413" cy="2333625"/>
            <a:chOff x="1276350" y="3324225"/>
            <a:chExt cx="3295650" cy="2333625"/>
          </a:xfrm>
        </xdr:grpSpPr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8FF3E206-E4EB-421C-8B72-910DA42100B1}"/>
                </a:ext>
              </a:extLst>
            </xdr:cNvPr>
            <xdr:cNvGrpSpPr/>
          </xdr:nvGrpSpPr>
          <xdr:grpSpPr>
            <a:xfrm>
              <a:off x="1276350" y="3324225"/>
              <a:ext cx="3295650" cy="2333625"/>
              <a:chOff x="533400" y="1390604"/>
              <a:chExt cx="8001000" cy="4894418"/>
            </a:xfrm>
          </xdr:grpSpPr>
          <xdr:grpSp>
            <xdr:nvGrpSpPr>
              <xdr:cNvPr id="7" name="Group 6">
                <a:extLst>
                  <a:ext uri="{FF2B5EF4-FFF2-40B4-BE49-F238E27FC236}">
                    <a16:creationId xmlns:a16="http://schemas.microsoft.com/office/drawing/2014/main" id="{F17B2689-8F02-4B62-AF8B-48A575E656D5}"/>
                  </a:ext>
                </a:extLst>
              </xdr:cNvPr>
              <xdr:cNvGrpSpPr/>
            </xdr:nvGrpSpPr>
            <xdr:grpSpPr>
              <a:xfrm>
                <a:off x="533400" y="1390604"/>
                <a:ext cx="8001000" cy="4894418"/>
                <a:chOff x="533400" y="1390604"/>
                <a:chExt cx="8001000" cy="4894418"/>
              </a:xfrm>
            </xdr:grpSpPr>
            <xdr:sp macro="" textlink="">
              <xdr:nvSpPr>
                <xdr:cNvPr id="22" name="Oval 21">
                  <a:extLst>
                    <a:ext uri="{FF2B5EF4-FFF2-40B4-BE49-F238E27FC236}">
                      <a16:creationId xmlns:a16="http://schemas.microsoft.com/office/drawing/2014/main" id="{3650AAAE-4A0B-45FF-993F-5A5224C1A4F3}"/>
                    </a:ext>
                  </a:extLst>
                </xdr:cNvPr>
                <xdr:cNvSpPr/>
              </xdr:nvSpPr>
              <xdr:spPr>
                <a:xfrm>
                  <a:off x="685800" y="1741597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A</a:t>
                  </a:r>
                </a:p>
              </xdr:txBody>
            </xdr:sp>
            <xdr:sp macro="" textlink="">
              <xdr:nvSpPr>
                <xdr:cNvPr id="23" name="Oval 22">
                  <a:extLst>
                    <a:ext uri="{FF2B5EF4-FFF2-40B4-BE49-F238E27FC236}">
                      <a16:creationId xmlns:a16="http://schemas.microsoft.com/office/drawing/2014/main" id="{3528DCFD-E826-43B2-98B8-0221DAEC9532}"/>
                    </a:ext>
                  </a:extLst>
                </xdr:cNvPr>
                <xdr:cNvSpPr/>
              </xdr:nvSpPr>
              <xdr:spPr>
                <a:xfrm>
                  <a:off x="2057400" y="190500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B</a:t>
                  </a:r>
                </a:p>
              </xdr:txBody>
            </xdr:sp>
            <xdr:sp macro="" textlink="">
              <xdr:nvSpPr>
                <xdr:cNvPr id="24" name="Oval 23">
                  <a:extLst>
                    <a:ext uri="{FF2B5EF4-FFF2-40B4-BE49-F238E27FC236}">
                      <a16:creationId xmlns:a16="http://schemas.microsoft.com/office/drawing/2014/main" id="{F47BB6C7-A024-483D-B204-17F189E1F19B}"/>
                    </a:ext>
                  </a:extLst>
                </xdr:cNvPr>
                <xdr:cNvSpPr/>
              </xdr:nvSpPr>
              <xdr:spPr>
                <a:xfrm>
                  <a:off x="2056722" y="4070875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C</a:t>
                  </a:r>
                </a:p>
              </xdr:txBody>
            </xdr:sp>
            <xdr:sp macro="" textlink="">
              <xdr:nvSpPr>
                <xdr:cNvPr id="25" name="Oval 24">
                  <a:extLst>
                    <a:ext uri="{FF2B5EF4-FFF2-40B4-BE49-F238E27FC236}">
                      <a16:creationId xmlns:a16="http://schemas.microsoft.com/office/drawing/2014/main" id="{0C8572AC-4EC6-434F-BF1D-008E71F16FDB}"/>
                    </a:ext>
                  </a:extLst>
                </xdr:cNvPr>
                <xdr:cNvSpPr/>
              </xdr:nvSpPr>
              <xdr:spPr>
                <a:xfrm>
                  <a:off x="4495800" y="430530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F</a:t>
                  </a:r>
                </a:p>
              </xdr:txBody>
            </xdr:sp>
            <xdr:sp macro="" textlink="">
              <xdr:nvSpPr>
                <xdr:cNvPr id="26" name="Oval 25">
                  <a:extLst>
                    <a:ext uri="{FF2B5EF4-FFF2-40B4-BE49-F238E27FC236}">
                      <a16:creationId xmlns:a16="http://schemas.microsoft.com/office/drawing/2014/main" id="{1D306F10-0AAE-43BA-B7A6-08A00729892A}"/>
                    </a:ext>
                  </a:extLst>
                </xdr:cNvPr>
                <xdr:cNvSpPr/>
              </xdr:nvSpPr>
              <xdr:spPr>
                <a:xfrm>
                  <a:off x="533400" y="525780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D</a:t>
                  </a:r>
                </a:p>
              </xdr:txBody>
            </xdr:sp>
            <xdr:sp macro="" textlink="">
              <xdr:nvSpPr>
                <xdr:cNvPr id="27" name="Oval 26">
                  <a:extLst>
                    <a:ext uri="{FF2B5EF4-FFF2-40B4-BE49-F238E27FC236}">
                      <a16:creationId xmlns:a16="http://schemas.microsoft.com/office/drawing/2014/main" id="{1D198606-02B4-494B-8CB1-883E9D918113}"/>
                    </a:ext>
                  </a:extLst>
                </xdr:cNvPr>
                <xdr:cNvSpPr/>
              </xdr:nvSpPr>
              <xdr:spPr>
                <a:xfrm>
                  <a:off x="5867400" y="2845065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H</a:t>
                  </a:r>
                </a:p>
              </xdr:txBody>
            </xdr:sp>
            <xdr:sp macro="" textlink="">
              <xdr:nvSpPr>
                <xdr:cNvPr id="28" name="Oval 27">
                  <a:extLst>
                    <a:ext uri="{FF2B5EF4-FFF2-40B4-BE49-F238E27FC236}">
                      <a16:creationId xmlns:a16="http://schemas.microsoft.com/office/drawing/2014/main" id="{EB446DD0-8675-4914-81D7-3DA378FE5B8B}"/>
                    </a:ext>
                  </a:extLst>
                </xdr:cNvPr>
                <xdr:cNvSpPr/>
              </xdr:nvSpPr>
              <xdr:spPr>
                <a:xfrm>
                  <a:off x="5257800" y="5599222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E</a:t>
                  </a:r>
                </a:p>
              </xdr:txBody>
            </xdr:sp>
            <xdr:sp macro="" textlink="">
              <xdr:nvSpPr>
                <xdr:cNvPr id="29" name="Oval 28">
                  <a:extLst>
                    <a:ext uri="{FF2B5EF4-FFF2-40B4-BE49-F238E27FC236}">
                      <a16:creationId xmlns:a16="http://schemas.microsoft.com/office/drawing/2014/main" id="{9AC18435-247E-45AC-96F2-107D4BF9278E}"/>
                    </a:ext>
                  </a:extLst>
                </xdr:cNvPr>
                <xdr:cNvSpPr/>
              </xdr:nvSpPr>
              <xdr:spPr>
                <a:xfrm>
                  <a:off x="4343400" y="163830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G</a:t>
                  </a:r>
                </a:p>
              </xdr:txBody>
            </xdr:sp>
            <xdr:sp macro="" textlink="">
              <xdr:nvSpPr>
                <xdr:cNvPr id="30" name="Oval 29">
                  <a:extLst>
                    <a:ext uri="{FF2B5EF4-FFF2-40B4-BE49-F238E27FC236}">
                      <a16:creationId xmlns:a16="http://schemas.microsoft.com/office/drawing/2014/main" id="{42F70CF6-7C86-43D3-BBC5-46A7192BAC39}"/>
                    </a:ext>
                  </a:extLst>
                </xdr:cNvPr>
                <xdr:cNvSpPr/>
              </xdr:nvSpPr>
              <xdr:spPr>
                <a:xfrm>
                  <a:off x="7772400" y="4369850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J</a:t>
                  </a:r>
                </a:p>
              </xdr:txBody>
            </xdr:sp>
            <xdr:sp macro="" textlink="">
              <xdr:nvSpPr>
                <xdr:cNvPr id="31" name="Oval 30">
                  <a:extLst>
                    <a:ext uri="{FF2B5EF4-FFF2-40B4-BE49-F238E27FC236}">
                      <a16:creationId xmlns:a16="http://schemas.microsoft.com/office/drawing/2014/main" id="{977A9A9B-2B10-4AD7-88EE-93D5A2D91993}"/>
                    </a:ext>
                  </a:extLst>
                </xdr:cNvPr>
                <xdr:cNvSpPr/>
              </xdr:nvSpPr>
              <xdr:spPr>
                <a:xfrm>
                  <a:off x="7620000" y="1390604"/>
                  <a:ext cx="762000" cy="68580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 lvl="0">
                    <a:defRPr lang="en-US"/>
                  </a:defPPr>
                  <a:lvl1pPr marL="0" lv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lvl="1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lvl="2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lvl="3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lvl="4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lvl="5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lvl="6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lvl="7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lvl="8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ctr"/>
                  <a:r>
                    <a:rPr lang="en-IN"/>
                    <a:t>I</a:t>
                  </a:r>
                </a:p>
              </xdr:txBody>
            </xdr:sp>
          </xdr:grpSp>
          <xdr:grpSp>
            <xdr:nvGrpSpPr>
              <xdr:cNvPr id="8" name="Group 7">
                <a:extLst>
                  <a:ext uri="{FF2B5EF4-FFF2-40B4-BE49-F238E27FC236}">
                    <a16:creationId xmlns:a16="http://schemas.microsoft.com/office/drawing/2014/main" id="{638E474F-B47E-4419-A99C-BD3E18F9B669}"/>
                  </a:ext>
                </a:extLst>
              </xdr:cNvPr>
              <xdr:cNvGrpSpPr/>
            </xdr:nvGrpSpPr>
            <xdr:grpSpPr>
              <a:xfrm>
                <a:off x="914401" y="1491037"/>
                <a:ext cx="7239000" cy="4451085"/>
                <a:chOff x="914401" y="1491037"/>
                <a:chExt cx="7239000" cy="4451085"/>
              </a:xfrm>
            </xdr:grpSpPr>
            <xdr:cxnSp macro="">
              <xdr:nvCxnSpPr>
                <xdr:cNvPr id="9" name="Straight Arrow Connector 8">
                  <a:extLst>
                    <a:ext uri="{FF2B5EF4-FFF2-40B4-BE49-F238E27FC236}">
                      <a16:creationId xmlns:a16="http://schemas.microsoft.com/office/drawing/2014/main" id="{EB682A8C-78D1-4FF2-9DEB-42DE2D00BA07}"/>
                    </a:ext>
                  </a:extLst>
                </xdr:cNvPr>
                <xdr:cNvCxnSpPr>
                  <a:stCxn id="22" idx="6"/>
                </xdr:cNvCxnSpPr>
              </xdr:nvCxnSpPr>
              <xdr:spPr>
                <a:xfrm>
                  <a:off x="1447801" y="2084496"/>
                  <a:ext cx="609599" cy="114300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0" name="Straight Arrow Connector 9">
                  <a:extLst>
                    <a:ext uri="{FF2B5EF4-FFF2-40B4-BE49-F238E27FC236}">
                      <a16:creationId xmlns:a16="http://schemas.microsoft.com/office/drawing/2014/main" id="{D7E93105-A96E-427B-8E42-5EC7E8DA7DAE}"/>
                    </a:ext>
                  </a:extLst>
                </xdr:cNvPr>
                <xdr:cNvCxnSpPr>
                  <a:stCxn id="24" idx="6"/>
                  <a:endCxn id="25" idx="2"/>
                </xdr:cNvCxnSpPr>
              </xdr:nvCxnSpPr>
              <xdr:spPr>
                <a:xfrm>
                  <a:off x="2818723" y="4413775"/>
                  <a:ext cx="1677078" cy="234425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" name="Straight Arrow Connector 10">
                  <a:extLst>
                    <a:ext uri="{FF2B5EF4-FFF2-40B4-BE49-F238E27FC236}">
                      <a16:creationId xmlns:a16="http://schemas.microsoft.com/office/drawing/2014/main" id="{7F302D9F-2FEA-471E-AE0F-0830EEB67521}"/>
                    </a:ext>
                  </a:extLst>
                </xdr:cNvPr>
                <xdr:cNvCxnSpPr>
                  <a:endCxn id="24" idx="1"/>
                </xdr:cNvCxnSpPr>
              </xdr:nvCxnSpPr>
              <xdr:spPr>
                <a:xfrm>
                  <a:off x="1227347" y="2368025"/>
                  <a:ext cx="940968" cy="1803283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2" name="Straight Arrow Connector 11">
                  <a:extLst>
                    <a:ext uri="{FF2B5EF4-FFF2-40B4-BE49-F238E27FC236}">
                      <a16:creationId xmlns:a16="http://schemas.microsoft.com/office/drawing/2014/main" id="{688FAFB1-39C9-4835-9ADF-37E329C5666E}"/>
                    </a:ext>
                  </a:extLst>
                </xdr:cNvPr>
                <xdr:cNvCxnSpPr>
                  <a:endCxn id="26" idx="0"/>
                </xdr:cNvCxnSpPr>
              </xdr:nvCxnSpPr>
              <xdr:spPr>
                <a:xfrm flipH="1">
                  <a:off x="914401" y="2427397"/>
                  <a:ext cx="151046" cy="2830402"/>
                </a:xfrm>
                <a:prstGeom prst="straightConnector1">
                  <a:avLst/>
                </a:prstGeom>
                <a:ln>
                  <a:headEnd type="triangle" w="med" len="med"/>
                  <a:tailEnd type="triangle" w="med" len="med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3" name="Straight Arrow Connector 12">
                  <a:extLst>
                    <a:ext uri="{FF2B5EF4-FFF2-40B4-BE49-F238E27FC236}">
                      <a16:creationId xmlns:a16="http://schemas.microsoft.com/office/drawing/2014/main" id="{BF052A9F-DA69-4FB5-AA52-DD2C50A4C806}"/>
                    </a:ext>
                  </a:extLst>
                </xdr:cNvPr>
                <xdr:cNvCxnSpPr>
                  <a:endCxn id="24" idx="0"/>
                </xdr:cNvCxnSpPr>
              </xdr:nvCxnSpPr>
              <xdr:spPr>
                <a:xfrm>
                  <a:off x="2330215" y="2606940"/>
                  <a:ext cx="107508" cy="1463935"/>
                </a:xfrm>
                <a:prstGeom prst="straightConnector1">
                  <a:avLst/>
                </a:prstGeom>
                <a:ln>
                  <a:headEnd type="triangle" w="med" len="med"/>
                  <a:tailEnd type="triangle" w="med" len="med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4" name="Straight Arrow Connector 13">
                  <a:extLst>
                    <a:ext uri="{FF2B5EF4-FFF2-40B4-BE49-F238E27FC236}">
                      <a16:creationId xmlns:a16="http://schemas.microsoft.com/office/drawing/2014/main" id="{9A22EAE3-AB72-4E0F-8FD6-6DC151A4ACD1}"/>
                    </a:ext>
                  </a:extLst>
                </xdr:cNvPr>
                <xdr:cNvCxnSpPr>
                  <a:stCxn id="28" idx="2"/>
                </xdr:cNvCxnSpPr>
              </xdr:nvCxnSpPr>
              <xdr:spPr>
                <a:xfrm flipH="1" flipV="1">
                  <a:off x="1287108" y="5748014"/>
                  <a:ext cx="3970693" cy="194108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" name="Straight Arrow Connector 14">
                  <a:extLst>
                    <a:ext uri="{FF2B5EF4-FFF2-40B4-BE49-F238E27FC236}">
                      <a16:creationId xmlns:a16="http://schemas.microsoft.com/office/drawing/2014/main" id="{58D13FC6-3BEB-4F7A-91DD-ABB4A160A5AB}"/>
                    </a:ext>
                  </a:extLst>
                </xdr:cNvPr>
                <xdr:cNvCxnSpPr>
                  <a:stCxn id="29" idx="4"/>
                </xdr:cNvCxnSpPr>
              </xdr:nvCxnSpPr>
              <xdr:spPr>
                <a:xfrm>
                  <a:off x="4724401" y="2324100"/>
                  <a:ext cx="107506" cy="1984900"/>
                </a:xfrm>
                <a:prstGeom prst="straightConnector1">
                  <a:avLst/>
                </a:prstGeom>
                <a:ln>
                  <a:headEnd type="triangle" w="med" len="med"/>
                  <a:tailEnd type="triangle" w="med" len="med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6" name="Straight Arrow Connector 15">
                  <a:extLst>
                    <a:ext uri="{FF2B5EF4-FFF2-40B4-BE49-F238E27FC236}">
                      <a16:creationId xmlns:a16="http://schemas.microsoft.com/office/drawing/2014/main" id="{EC30AEB2-ECB2-4C62-A3D2-5049B1B4CFB4}"/>
                    </a:ext>
                  </a:extLst>
                </xdr:cNvPr>
                <xdr:cNvCxnSpPr>
                  <a:endCxn id="30" idx="0"/>
                </xdr:cNvCxnSpPr>
              </xdr:nvCxnSpPr>
              <xdr:spPr>
                <a:xfrm>
                  <a:off x="8007139" y="2066288"/>
                  <a:ext cx="146262" cy="2303561"/>
                </a:xfrm>
                <a:prstGeom prst="straightConnector1">
                  <a:avLst/>
                </a:prstGeom>
                <a:ln>
                  <a:headEnd type="triangle" w="med" len="med"/>
                  <a:tailEnd type="triangle" w="med" len="med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7" name="Straight Arrow Connector 16">
                  <a:extLst>
                    <a:ext uri="{FF2B5EF4-FFF2-40B4-BE49-F238E27FC236}">
                      <a16:creationId xmlns:a16="http://schemas.microsoft.com/office/drawing/2014/main" id="{74441469-D8DE-4C02-A0A8-03A3D871CA78}"/>
                    </a:ext>
                  </a:extLst>
                </xdr:cNvPr>
                <xdr:cNvCxnSpPr>
                  <a:endCxn id="27" idx="1"/>
                </xdr:cNvCxnSpPr>
              </xdr:nvCxnSpPr>
              <xdr:spPr>
                <a:xfrm>
                  <a:off x="5038725" y="2114551"/>
                  <a:ext cx="940268" cy="830948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8" name="Straight Arrow Connector 17">
                  <a:extLst>
                    <a:ext uri="{FF2B5EF4-FFF2-40B4-BE49-F238E27FC236}">
                      <a16:creationId xmlns:a16="http://schemas.microsoft.com/office/drawing/2014/main" id="{C7E8B99F-891E-4F00-B08A-CC3956AE05DD}"/>
                    </a:ext>
                  </a:extLst>
                </xdr:cNvPr>
                <xdr:cNvCxnSpPr>
                  <a:endCxn id="31" idx="2"/>
                </xdr:cNvCxnSpPr>
              </xdr:nvCxnSpPr>
              <xdr:spPr>
                <a:xfrm flipV="1">
                  <a:off x="5079533" y="1733504"/>
                  <a:ext cx="2540468" cy="211022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9" name="Straight Arrow Connector 18">
                  <a:extLst>
                    <a:ext uri="{FF2B5EF4-FFF2-40B4-BE49-F238E27FC236}">
                      <a16:creationId xmlns:a16="http://schemas.microsoft.com/office/drawing/2014/main" id="{FE6C9BC1-CF7C-408E-B6F0-46B169A0DFF1}"/>
                    </a:ext>
                  </a:extLst>
                </xdr:cNvPr>
                <xdr:cNvCxnSpPr>
                  <a:endCxn id="27" idx="7"/>
                </xdr:cNvCxnSpPr>
              </xdr:nvCxnSpPr>
              <xdr:spPr>
                <a:xfrm flipH="1">
                  <a:off x="6517809" y="1934724"/>
                  <a:ext cx="1165458" cy="1010774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0" name="Straight Arrow Connector 19">
                  <a:extLst>
                    <a:ext uri="{FF2B5EF4-FFF2-40B4-BE49-F238E27FC236}">
                      <a16:creationId xmlns:a16="http://schemas.microsoft.com/office/drawing/2014/main" id="{E3921E05-45FA-4BB5-B0CC-EA5855151262}"/>
                    </a:ext>
                  </a:extLst>
                </xdr:cNvPr>
                <xdr:cNvCxnSpPr>
                  <a:stCxn id="26" idx="6"/>
                </xdr:cNvCxnSpPr>
              </xdr:nvCxnSpPr>
              <xdr:spPr>
                <a:xfrm flipV="1">
                  <a:off x="1295401" y="4891552"/>
                  <a:ext cx="6550547" cy="709147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1" name="Curved Connector 16">
                  <a:extLst>
                    <a:ext uri="{FF2B5EF4-FFF2-40B4-BE49-F238E27FC236}">
                      <a16:creationId xmlns:a16="http://schemas.microsoft.com/office/drawing/2014/main" id="{91778B73-9419-4837-9E5B-6BCB3A30570E}"/>
                    </a:ext>
                  </a:extLst>
                </xdr:cNvPr>
                <xdr:cNvCxnSpPr>
                  <a:stCxn id="23" idx="7"/>
                  <a:endCxn id="31" idx="1"/>
                </xdr:cNvCxnSpPr>
              </xdr:nvCxnSpPr>
              <xdr:spPr>
                <a:xfrm rot="5400000" flipH="1" flipV="1">
                  <a:off x="4962503" y="-763657"/>
                  <a:ext cx="514395" cy="5023784"/>
                </a:xfrm>
                <a:prstGeom prst="curvedConnector3">
                  <a:avLst>
                    <a:gd name="adj1" fmla="val 171365"/>
                  </a:avLst>
                </a:prstGeom>
                <a:ln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</xdr:grpSp>
        </xdr:grpSp>
        <xdr:cxnSp macro="">
          <xdr:nvCxnSpPr>
            <xdr:cNvPr id="6" name="Straight Arrow Connector 5">
              <a:extLst>
                <a:ext uri="{FF2B5EF4-FFF2-40B4-BE49-F238E27FC236}">
                  <a16:creationId xmlns:a16="http://schemas.microsoft.com/office/drawing/2014/main" id="{7BEDEFF4-9F52-4D71-98C6-BBBC84BDB617}"/>
                </a:ext>
              </a:extLst>
            </xdr:cNvPr>
            <xdr:cNvCxnSpPr>
              <a:stCxn id="27" idx="3"/>
              <a:endCxn id="25" idx="7"/>
            </xdr:cNvCxnSpPr>
          </xdr:nvCxnSpPr>
          <xdr:spPr>
            <a:xfrm flipH="1">
              <a:off x="3176387" y="4296801"/>
              <a:ext cx="343028" cy="465017"/>
            </a:xfrm>
            <a:prstGeom prst="straightConnector1">
              <a:avLst/>
            </a:prstGeom>
            <a:ln>
              <a:solidFill>
                <a:schemeClr val="tx1"/>
              </a:solidFill>
              <a:tailEnd type="triangle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F411F93E-8E88-44AC-BA62-0E1F58369352}"/>
              </a:ext>
            </a:extLst>
          </xdr:cNvPr>
          <xdr:cNvCxnSpPr>
            <a:endCxn id="28" idx="6"/>
          </xdr:cNvCxnSpPr>
        </xdr:nvCxnSpPr>
        <xdr:spPr>
          <a:xfrm flipH="1">
            <a:off x="3589496" y="4872038"/>
            <a:ext cx="783103" cy="455633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384334</xdr:colOff>
      <xdr:row>0</xdr:row>
      <xdr:rowOff>126326</xdr:rowOff>
    </xdr:from>
    <xdr:to>
      <xdr:col>21</xdr:col>
      <xdr:colOff>390454</xdr:colOff>
      <xdr:row>0</xdr:row>
      <xdr:rowOff>129566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F38F0974-F170-4ECB-9189-C1E525511B2B}"/>
                </a:ext>
              </a:extLst>
            </xdr14:cNvPr>
            <xdr14:cNvContentPartPr/>
          </xdr14:nvContentPartPr>
          <xdr14:nvPr macro=""/>
          <xdr14:xfrm>
            <a:off x="9480709" y="126326"/>
            <a:ext cx="6120" cy="3240"/>
          </xdr14:xfrm>
        </xdr:contentPart>
      </mc:Choice>
      <mc:Fallback xmlns="">
        <xdr:pic>
          <xdr:nvPicPr>
            <xdr:cNvPr id="185" name="Ink 184"/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9473509" y="119126"/>
              <a:ext cx="18360" cy="154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14</xdr:col>
      <xdr:colOff>301680</xdr:colOff>
      <xdr:row>0</xdr:row>
      <xdr:rowOff>284366</xdr:rowOff>
    </xdr:from>
    <xdr:to>
      <xdr:col>14</xdr:col>
      <xdr:colOff>366120</xdr:colOff>
      <xdr:row>1</xdr:row>
      <xdr:rowOff>49245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62F936BB-9758-4ABF-9395-547B360C8BD7}"/>
                </a:ext>
              </a:extLst>
            </xdr14:cNvPr>
            <xdr14:cNvContentPartPr/>
          </xdr14:nvContentPartPr>
          <xdr14:nvPr macro=""/>
          <xdr14:xfrm>
            <a:off x="5314211" y="284366"/>
            <a:ext cx="64440" cy="110160"/>
          </xdr14:xfrm>
        </xdr:contentPart>
      </mc:Choice>
      <mc:Fallback xmlns="">
        <xdr:pic>
          <xdr:nvPicPr>
            <xdr:cNvPr id="187" name="Ink 186"/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309171" y="280766"/>
              <a:ext cx="73080" cy="117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047" units="deg"/>
          <inkml:channel name="T" type="integer" max="2.14748E9" units="dev"/>
        </inkml:traceFormat>
        <inkml:channelProperties>
          <inkml:channelProperty channel="X" name="resolution" value="1516.99072" units="1/cm"/>
          <inkml:channelProperty channel="Y" name="resolution" value="2427.1853" units="1/cm"/>
          <inkml:channelProperty channel="F" name="resolution" value="5.68611" units="1/deg"/>
          <inkml:channelProperty channel="T" name="resolution" value="1" units="1/dev"/>
        </inkml:channelProperties>
      </inkml:inkSource>
      <inkml:timestamp xml:id="ts0" timeString="2021-04-18T06:36:33.383"/>
    </inkml:context>
    <inkml:brush xml:id="br0">
      <inkml:brushProperty name="width" value="0.06667" units="cm"/>
      <inkml:brushProperty name="height" value="0.06667" units="cm"/>
    </inkml:brush>
  </inkml:definitions>
  <inkml:traceGroup>
    <inkml:annotationXML>
      <emma:emma xmlns:emma="http://www.w3.org/2003/04/emma" version="1.0">
        <emma:interpretation id="{686C210C-F3D9-44A9-90A5-924B9327B141}" emma:medium="tactile" emma:mode="ink">
          <msink:context xmlns:msink="http://schemas.microsoft.com/ink/2010/main" type="writingRegion" rotatedBoundingBox="33802,247 36374,297 36363,867 33791,816"/>
        </emma:interpretation>
      </emma:emma>
    </inkml:annotationXML>
    <inkml:traceGroup>
      <inkml:annotationXML>
        <emma:emma xmlns:emma="http://www.w3.org/2003/04/emma" version="1.0">
          <emma:interpretation id="{643088B0-CC5B-47B0-BC06-B9ADE9DE16F2}" emma:medium="tactile" emma:mode="ink">
            <msink:context xmlns:msink="http://schemas.microsoft.com/ink/2010/main" type="paragraph" rotatedBoundingBox="33802,247 36374,297 36363,867 33791,816" alignmentLevel="1"/>
          </emma:interpretation>
        </emma:emma>
      </inkml:annotationXML>
      <inkml:traceGroup>
        <inkml:annotationXML>
          <emma:emma xmlns:emma="http://www.w3.org/2003/04/emma" version="1.0">
            <emma:interpretation id="{359927A2-D78B-4DBA-858D-037F8F2317EB}" emma:medium="tactile" emma:mode="ink">
              <msink:context xmlns:msink="http://schemas.microsoft.com/ink/2010/main" type="line" rotatedBoundingBox="33802,247 36374,297 36363,867 33791,816"/>
            </emma:interpretation>
          </emma:emma>
        </inkml:annotationXML>
        <inkml:traceGroup>
          <inkml:annotationXML>
            <emma:emma xmlns:emma="http://www.w3.org/2003/04/emma" version="1.0">
              <emma:interpretation id="{9ED2E4BB-885A-464D-99A3-ADEA54147554}" emma:medium="tactile" emma:mode="ink">
                <msink:context xmlns:msink="http://schemas.microsoft.com/ink/2010/main" type="inkWord" rotatedBoundingBox="33802,247 36374,297 36363,867 33791,816">
                  <msink:destinationLink direction="with" ref="{9BCABCA1-7FDB-43E5-AEB2-7FCBEE3DE93C}"/>
                </msink:context>
              </emma:interpretation>
              <emma:one-of disjunction-type="recognition" id="oneOf0">
                <emma:interpretation id="interp0" emma:lang="" emma:confidence="1">
                  <emma:literal/>
                </emma:interpretation>
              </emma:one-of>
            </emma:emma>
          </inkml:annotationXML>
          <inkml:trace contextRef="#ctx0" brushRef="#br0">1120 148 14 0,'0'0'322'0,"0"0"-236"16,0 0-13-16,0 0 22 16,0 0-20-16,0 0-17 15,-6-2-51-15,6 2 0 16,0 10 3-16,0 10 7 15,0 1-17-15,0 2 64 16,0-1-46-16,0 1 15 16,0-1-16-16,0 5-16 15,0-3 32-15,0 0-33 16,5-2 0-16,-4-5 11 16,3-7-5-16,0-6-6 15,0-2 0-15,6-2 7 16,9-6 13-16,3-18-20 0,13-9 30 15,-2-6 5 1,-1 0-34-16,-1-1-1 0,-6 7 0 16,-1 6 7-16,-9 11-34 15,-8 6 5-15,-2 6-52 16,-5 4 1-16,0 0-71 16,0 10-129-16,0 5-111 15</inkml:trace>
          <inkml:trace contextRef="#ctx0" brushRef="#br0" timeOffset="215.0581">1471 370 254 0,'0'0'82'15,"0"0"-44"-15,0 0 29 16,0 0 7-16,0 0 18 15,-56 121-60-15,45-97 4 16,1 1-36-16,1-3 15 16,6-5-33-16,3-7 3 15,0-8-136-15,25-2-137 16</inkml:trace>
          <inkml:trace contextRef="#ctx0" brushRef="#br0" timeOffset="-1607.3245">306 20 167 0,'0'0'104'15,"0"0"-23"-15,0 0-13 16,0 0 52-16,0 0-77 16,0 0 5-16,0 0 31 15,0-19-29-15,0 18 19 16,0 1-39-16,0 0-30 15,0 0 20-15,0 0-20 16,0 0-6-16,0 0 4 16,0 0-42-16,0 0 10 15,0 0-10-15,0 0 41 16,-4 0-10-16,-8 0 13 16,-7 0-8-16,-8 0-1 15,0 11 18-15,-5 5-5 0,-1 3-4 16,1 6 0-16,-2 3 13 15,5 3-6-15,3 3-7 16,11-3 20-16,2 4-17 16,10-3 13-16,3-3-16 15,4-5 1-15,27-3 4 16,9-11-5-16,9-4 0 16,9-6 2-16,-2 0 3 15,-11-10-1-15,-9-5-4 16,-17-1 0-16,-6 4-2 15,-11-3 2-15,-2 1 0 16,3 4 5-16,0-4 1 0,-2 3-6 16,10 0 0-1,2 1 4-15,7 3-13 0,1 1 9 16,1 4 0-16,0 2-7 16,-5 0 8-16,2 0-6 15,-4 14 5-15,-5 4 0 16,-2 5-12-16,-8 6 12 15,0-1 0-15,0 5-2 16,-12-1 9-16,-15-1-6 16,0-2 4-16,-5-3-5 15,3-5 55-15,6-5-55 16,6-4 7-16,6-4-4 16,11-1-3-16,0-7 0 15,7 0-95-15,26-9-136 16,10-21-155-16</inkml:trace>
          <inkml:trace contextRef="#ctx0" brushRef="#br0" timeOffset="-1268.788">901 146 285 0,'0'0'106'16,"0"0"-39"-16,0 0 65 0,0 0-34 15,0 0-54-15,0 0-19 16,-47 18-18-16,21 4 7 16,-5 6 1-16,6 4-11 15,5 6 44-15,5-1-39 16,5 4-2-16,9-6 12 15,1-3-17-15,0-5 5 16,13-5-7-16,14-5 4 16,2-9-7-16,8-4 3 15,3-4-38-15,-2 0-49 16,-3-4-142-16,-10-14-281 16</inkml:trace>
          <inkml:trace contextRef="#ctx0" brushRef="#br0" timeOffset="690.5439">1789 190 250 0,'0'0'145'0,"0"0"-53"15,0 0-79-15,0 0 1 16,0 0 35-16,0 0 9 15,-10 68-1-15,6-47-21 16,0-5-9-16,0-2 35 16,-1-6-62-16,1-1 6 15,4-6-1-15,0-1 0 0,0 0-5 16,0 0 0-16,-1 0 8 16,1 0 16-16,0-15-24 15,0-4 0-15,0-6 1 16,0-1 3-16,0 3-6 15,0 1 2-15,0 3 0 16,0 8 3-16,0 4-3 16,5 1 0-16,0 4-1 15,-1 0 4-15,8 0-3 16,3 0 0-16,7-1 5 16,-2 0-4-16,6-1-1 15,-1 0 0-15,-1-2 10 16,1 2-10-16,0-1 0 0,-6 3-2 15,2 0-18-15,-13 2-46 16,-8 0-122-16,0 0-36 16</inkml:trace>
          <inkml:trace contextRef="#ctx0" brushRef="#br0" timeOffset="1019.2789">1820 321 66 0,'0'0'85'0,"0"0"-54"0,0 0 17 15,0 0-4-15,0 0-36 16,0 0 21-16,55 0-29 16,-55 0 0-16,-4 0 1 15,-18 10 1-15,-1 5-2 16,1 4 11-16,1-3-2 15,9 4 40-15,3-4-23 16,5-1-11-16,4-3 33 16,0-4-47-16,0-4 38 15,18-2 19-15,10-2-24 16,8 0 72-16,12-3-87 16,0-12-10-16,3-4-18 15,-4-1-2-15,-10-1-108 0,-6-1-86 16</inkml:trace>
          <inkml:trace contextRef="#ctx0" brushRef="#br0" timeOffset="2024.2069">1885 236 129 0,'0'0'43'16,"0"0"23"-16,0 0 3 16,0 0-42-16,0 0 24 15,0 0-10-15,-47-5-13 16,47 5 34-16,0 0-33 15,0 0 21-15,0 0 4 16,0 0-31-16,0 0 39 0,0 0-38 16,2 0-10-16,18 0 31 15,8 0-41-15,4 0 5 16,2 0-6-16,2 0 10 16,0 0-26-16,1 0 10 15,-8 0-113-15,-3 0-73 16,-4 0-244-16</inkml:trace>
          <inkml:trace contextRef="#ctx0" brushRef="#br0" timeOffset="1380.6468">2441 79 404 0,'0'0'118'0,"0"0"-45"0,0 0 6 16,0 0-11-16,0 0 4 16,0 0-57-16,74 30 21 15,-54-8 7-15,0 3-30 16,-7 3 37-16,-8 5-50 15,-5 2 0-15,0 4 22 16,-5 6-10-16,-19-3-10 16,-3 0-2-16,-8-6 15 15,1-3-12-15,-5-3-3 16,-1-5-21-16,-4-4 15 16,-2-5-111-16,2-6-109 15,-4-4-194-15</inkml:trace>
        </inkml:traceGroup>
      </inkml:traceGroup>
    </inkml:traceGroup>
  </inkml:traceGroup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047" units="deg"/>
          <inkml:channel name="T" type="integer" max="2.14748E9" units="dev"/>
        </inkml:traceFormat>
        <inkml:channelProperties>
          <inkml:channelProperty channel="X" name="resolution" value="1516.99072" units="1/cm"/>
          <inkml:channelProperty channel="Y" name="resolution" value="2427.1853" units="1/cm"/>
          <inkml:channelProperty channel="F" name="resolution" value="5.68611" units="1/deg"/>
          <inkml:channelProperty channel="T" name="resolution" value="1" units="1/dev"/>
        </inkml:channelProperties>
      </inkml:inkSource>
      <inkml:timestamp xml:id="ts0" timeString="2021-04-18T06:25:45.612"/>
    </inkml:context>
    <inkml:brush xml:id="br0">
      <inkml:brushProperty name="width" value="0.06667" units="cm"/>
      <inkml:brushProperty name="height" value="0.06667" units="cm"/>
    </inkml:brush>
  </inkml:definitions>
  <inkml:traceGroup>
    <inkml:annotationXML>
      <emma:emma xmlns:emma="http://www.w3.org/2003/04/emma" version="1.0">
        <emma:interpretation id="{74A7CC7F-B68D-4406-B196-0A8B7AD1BAC6}" emma:medium="tactile" emma:mode="ink">
          <msink:context xmlns:msink="http://schemas.microsoft.com/ink/2010/main" type="writingRegion" rotatedBoundingBox="41280,9531 41295,9531 41295,9546 41280,9546"/>
        </emma:interpretation>
      </emma:emma>
    </inkml:annotationXML>
    <inkml:traceGroup>
      <inkml:annotationXML>
        <emma:emma xmlns:emma="http://www.w3.org/2003/04/emma" version="1.0">
          <emma:interpretation id="{549B39B0-5015-47B4-9591-D14A08890DC3}" emma:medium="tactile" emma:mode="ink">
            <msink:context xmlns:msink="http://schemas.microsoft.com/ink/2010/main" type="paragraph" rotatedBoundingBox="41280,9531 41295,9531 41295,9546 41280,9546" alignmentLevel="1"/>
          </emma:interpretation>
        </emma:emma>
      </inkml:annotationXML>
      <inkml:traceGroup>
        <inkml:annotationXML>
          <emma:emma xmlns:emma="http://www.w3.org/2003/04/emma" version="1.0">
            <emma:interpretation id="{A243CD40-BD07-4A84-B436-1D79A80B9BCB}" emma:medium="tactile" emma:mode="ink">
              <msink:context xmlns:msink="http://schemas.microsoft.com/ink/2010/main" type="line" rotatedBoundingBox="41280,9531 41295,9531 41295,9546 41280,9546"/>
            </emma:interpretation>
          </emma:emma>
        </inkml:annotationXML>
        <inkml:traceGroup>
          <inkml:annotationXML>
            <emma:emma xmlns:emma="http://www.w3.org/2003/04/emma" version="1.0">
              <emma:interpretation id="{466712A4-56CC-4A9A-96CB-6B001663890F}" emma:medium="tactile" emma:mode="ink">
                <msink:context xmlns:msink="http://schemas.microsoft.com/ink/2010/main" type="inkWord" rotatedBoundingBox="41280,9531 41295,9531 41295,9546 41280,9546"/>
              </emma:interpretation>
            </emma:emma>
          </inkml:annotationXML>
          <inkml:trace contextRef="#ctx0" brushRef="#br0">0 0 374 0,'0'0'33'16,"0"0"-33"-16,0 0-171 16</inkml:trace>
        </inkml:traceGroup>
      </inkml:traceGroup>
    </inkml:traceGroup>
  </inkml:traceGroup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047" units="deg"/>
          <inkml:channel name="T" type="integer" max="2.14748E9" units="dev"/>
        </inkml:traceFormat>
        <inkml:channelProperties>
          <inkml:channelProperty channel="X" name="resolution" value="1516.99072" units="1/cm"/>
          <inkml:channelProperty channel="Y" name="resolution" value="2427.1853" units="1/cm"/>
          <inkml:channelProperty channel="F" name="resolution" value="5.68611" units="1/deg"/>
          <inkml:channelProperty channel="T" name="resolution" value="1" units="1/dev"/>
        </inkml:channelProperties>
      </inkml:inkSource>
      <inkml:timestamp xml:id="ts0" timeString="2021-04-18T06:47:07.607"/>
    </inkml:context>
    <inkml:brush xml:id="br0">
      <inkml:brushProperty name="width" value="0.06667" units="cm"/>
      <inkml:brushProperty name="height" value="0.06667" units="cm"/>
    </inkml:brush>
  </inkml:definitions>
  <inkml:traceGroup>
    <inkml:annotationXML>
      <emma:emma xmlns:emma="http://www.w3.org/2003/04/emma" version="1.0">
        <emma:interpretation id="{9BCABCA1-7FDB-43E5-AEB2-7FCBEE3DE93C}" emma:medium="tactile" emma:mode="ink">
          <msink:context xmlns:msink="http://schemas.microsoft.com/ink/2010/main" type="inkDrawing" rotatedBoundingBox="32620,-43 33379,330 33367,354 32608,-19" semanticType="callout" shapeName="Other">
            <msink:sourceLink direction="with" ref="{9ED2E4BB-885A-464D-99A3-ADEA54147554}"/>
          </msink:context>
        </emma:interpretation>
      </emma:emma>
    </inkml:annotationXML>
    <inkml:trace contextRef="#ctx0" brushRef="#br0">4638 377 344 0,'0'0'3'0,"-132"-87"5"16,65 52 5-16,0 0-13 16,-2-4 0-16,-6 4 13 15,8 1-7-15,-1 1 17 0,6 7 28 16,6 4-23 0,1 1 2-16,16 11-23 15</inkml:trace>
  </inkml:traceGroup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047" units="deg"/>
          <inkml:channel name="T" type="integer" max="2.14748E9" units="dev"/>
        </inkml:traceFormat>
        <inkml:channelProperties>
          <inkml:channelProperty channel="X" name="resolution" value="1516.99072" units="1/cm"/>
          <inkml:channelProperty channel="Y" name="resolution" value="2427.1853" units="1/cm"/>
          <inkml:channelProperty channel="F" name="resolution" value="5.68611" units="1/deg"/>
          <inkml:channelProperty channel="T" name="resolution" value="1" units="1/dev"/>
        </inkml:channelProperties>
      </inkml:inkSource>
      <inkml:timestamp xml:id="ts0" timeString="2021-04-18T06:20:27.768"/>
    </inkml:context>
    <inkml:brush xml:id="br0">
      <inkml:brushProperty name="width" value="0.06667" units="cm"/>
      <inkml:brushProperty name="height" value="0.06667" units="cm"/>
    </inkml:brush>
  </inkml:definitions>
  <inkml:traceGroup>
    <inkml:annotationXML>
      <emma:emma xmlns:emma="http://www.w3.org/2003/04/emma" version="1.0">
        <emma:interpretation id="{64C2474E-2214-4EC1-8ABC-767E0DC973AA}" emma:medium="tactile" emma:mode="ink">
          <msink:context xmlns:msink="http://schemas.microsoft.com/ink/2010/main" type="writingRegion" rotatedBoundingBox="26335,350 26351,350 26351,358 26335,358"/>
        </emma:interpretation>
      </emma:emma>
    </inkml:annotationXML>
    <inkml:traceGroup>
      <inkml:annotationXML>
        <emma:emma xmlns:emma="http://www.w3.org/2003/04/emma" version="1.0">
          <emma:interpretation id="{5ED5F8C7-D024-479F-9AF0-6C19E77064FF}" emma:medium="tactile" emma:mode="ink">
            <msink:context xmlns:msink="http://schemas.microsoft.com/ink/2010/main" type="paragraph" rotatedBoundingBox="26335,350 26351,350 26351,358 26335,358" alignmentLevel="1"/>
          </emma:interpretation>
        </emma:emma>
      </inkml:annotationXML>
      <inkml:traceGroup>
        <inkml:annotationXML>
          <emma:emma xmlns:emma="http://www.w3.org/2003/04/emma" version="1.0">
            <emma:interpretation id="{EDFD716D-6CFE-47F7-B2DE-91F5008393AA}" emma:medium="tactile" emma:mode="ink">
              <msink:context xmlns:msink="http://schemas.microsoft.com/ink/2010/main" type="line" rotatedBoundingBox="26335,350 26351,350 26351,358 26335,358"/>
            </emma:interpretation>
          </emma:emma>
        </inkml:annotationXML>
        <inkml:traceGroup>
          <inkml:annotationXML>
            <emma:emma xmlns:emma="http://www.w3.org/2003/04/emma" version="1.0">
              <emma:interpretation id="{AAA35260-5B2E-480C-981F-FA7AD541BDC0}" emma:medium="tactile" emma:mode="ink">
                <msink:context xmlns:msink="http://schemas.microsoft.com/ink/2010/main" type="inkWord" rotatedBoundingBox="26335,350 26351,350 26351,358 26335,358"/>
              </emma:interpretation>
            </emma:emma>
          </inkml:annotationXML>
          <inkml:trace contextRef="#ctx0" brushRef="#br0">0 0 25 0,'0'0'123'0,"0"0"-48"16,0 0-13-16,0 0 4 0,0 0-23 16,0 0-11-16,0 0 5 15,0 0-37-15,0 0 0 16,0 0-1-16,0 0-1 16,0 0-23-16,9 2-45 15,-2 4-71-15</inkml:trace>
        </inkml:traceGroup>
      </inkml:traceGroup>
    </inkml:traceGroup>
  </inkml:traceGroup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047" units="deg"/>
          <inkml:channel name="T" type="integer" max="2.14748E9" units="dev"/>
        </inkml:traceFormat>
        <inkml:channelProperties>
          <inkml:channelProperty channel="X" name="resolution" value="1516.99072" units="1/cm"/>
          <inkml:channelProperty channel="Y" name="resolution" value="2427.1853" units="1/cm"/>
          <inkml:channelProperty channel="F" name="resolution" value="5.68611" units="1/deg"/>
          <inkml:channelProperty channel="T" name="resolution" value="1" units="1/dev"/>
        </inkml:channelProperties>
      </inkml:inkSource>
      <inkml:timestamp xml:id="ts0" timeString="2021-04-18T06:47:05.036"/>
    </inkml:context>
    <inkml:brush xml:id="br0">
      <inkml:brushProperty name="width" value="0.06667" units="cm"/>
      <inkml:brushProperty name="height" value="0.06667" units="cm"/>
    </inkml:brush>
  </inkml:definitions>
  <inkml:traceGroup>
    <inkml:annotationXML>
      <emma:emma xmlns:emma="http://www.w3.org/2003/04/emma" version="1.0">
        <emma:interpretation id="{CA9B7D35-E818-4599-BE39-F3FC7772E898}" emma:medium="tactile" emma:mode="ink">
          <msink:context xmlns:msink="http://schemas.microsoft.com/ink/2010/main" type="inkDrawing" rotatedBoundingBox="15609,283 16280,-140 16391,35 15720,459" shapeName="Other"/>
        </emma:interpretation>
      </emma:emma>
    </inkml:annotationXML>
    <inkml:trace contextRef="#ctx0" brushRef="#br0">2764 0 733 2359,'-28'8'13'16,"-98"24"-13"-16,17 1 0 15,18-3 1-15,16-5-14 16,15 2 13-16,15-2-3 16,9 5-20-16,15 6-37 15,3 12-13-15,6 7-21 16,6 11-12-16,2 6-65 15</inkml:trace>
  </inkml:traceGroup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047" units="deg"/>
          <inkml:channel name="T" type="integer" max="2.14748E9" units="dev"/>
        </inkml:traceFormat>
        <inkml:channelProperties>
          <inkml:channelProperty channel="X" name="resolution" value="1516.99072" units="1/cm"/>
          <inkml:channelProperty channel="Y" name="resolution" value="2427.1853" units="1/cm"/>
          <inkml:channelProperty channel="F" name="resolution" value="5.68611" units="1/deg"/>
          <inkml:channelProperty channel="T" name="resolution" value="1" units="1/dev"/>
        </inkml:channelProperties>
      </inkml:inkSource>
      <inkml:timestamp xml:id="ts0" timeString="2021-04-18T06:47:02.419"/>
    </inkml:context>
    <inkml:brush xml:id="br0">
      <inkml:brushProperty name="width" value="0.06667" units="cm"/>
      <inkml:brushProperty name="height" value="0.06667" units="cm"/>
    </inkml:brush>
  </inkml:definitions>
  <inkml:traceGroup>
    <inkml:annotationXML>
      <emma:emma xmlns:emma="http://www.w3.org/2003/04/emma" version="1.0">
        <emma:interpretation id="{465C23DE-6E5A-48D8-8F1E-434E7E7D5DE4}" emma:medium="tactile" emma:mode="ink">
          <msink:context xmlns:msink="http://schemas.microsoft.com/ink/2010/main" type="writingRegion" rotatedBoundingBox="14761,789 14939,789 14939,1094 14761,1094"/>
        </emma:interpretation>
      </emma:emma>
    </inkml:annotationXML>
    <inkml:traceGroup>
      <inkml:annotationXML>
        <emma:emma xmlns:emma="http://www.w3.org/2003/04/emma" version="1.0">
          <emma:interpretation id="{5511B81F-721D-450B-B153-632525842075}" emma:medium="tactile" emma:mode="ink">
            <msink:context xmlns:msink="http://schemas.microsoft.com/ink/2010/main" type="paragraph" rotatedBoundingBox="14761,789 14939,789 14939,1094 14761,1094" alignmentLevel="1"/>
          </emma:interpretation>
        </emma:emma>
      </inkml:annotationXML>
      <inkml:traceGroup>
        <inkml:annotationXML>
          <emma:emma xmlns:emma="http://www.w3.org/2003/04/emma" version="1.0">
            <emma:interpretation id="{8F50F618-205A-48F5-A3CA-A28F9DC905C5}" emma:medium="tactile" emma:mode="ink">
              <msink:context xmlns:msink="http://schemas.microsoft.com/ink/2010/main" type="line" rotatedBoundingBox="14761,789 14939,789 14939,1094 14761,1094"/>
            </emma:interpretation>
          </emma:emma>
        </inkml:annotationXML>
        <inkml:traceGroup>
          <inkml:annotationXML>
            <emma:emma xmlns:emma="http://www.w3.org/2003/04/emma" version="1.0">
              <emma:interpretation id="{E6AB32CF-6A0B-40DA-B986-298ED0B846B3}" emma:medium="tactile" emma:mode="ink">
                <msink:context xmlns:msink="http://schemas.microsoft.com/ink/2010/main" type="inkWord" rotatedBoundingBox="14761,789 14939,789 14939,1094 14761,1094"/>
              </emma:interpretation>
            </emma:emma>
          </inkml:annotationXML>
          <inkml:trace contextRef="#ctx0" brushRef="#br0">178 0 56 0,'0'0'4'16,"0"0"23"-16,-89 102 4 16,65-69 1-16,0-5-2 15,3 3-19-15,8 1-1 16,6-3-10-16,7 0-22 15,0-8-95-15</inkml:trace>
        </inkml:traceGroup>
      </inkml:traceGroup>
    </inkml:traceGroup>
  </inkml:traceGroup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047" units="deg"/>
          <inkml:channel name="T" type="integer" max="2.14748E9" units="dev"/>
        </inkml:traceFormat>
        <inkml:channelProperties>
          <inkml:channelProperty channel="X" name="resolution" value="1516.99072" units="1/cm"/>
          <inkml:channelProperty channel="Y" name="resolution" value="2427.1853" units="1/cm"/>
          <inkml:channelProperty channel="F" name="resolution" value="5.68611" units="1/deg"/>
          <inkml:channelProperty channel="T" name="resolution" value="1" units="1/dev"/>
        </inkml:channelProperties>
      </inkml:inkSource>
      <inkml:timestamp xml:id="ts0" timeString="2021-04-18T06:24:54.384"/>
    </inkml:context>
    <inkml:brush xml:id="br0">
      <inkml:brushProperty name="width" value="0.06667" units="cm"/>
      <inkml:brushProperty name="height" value="0.06667" units="cm"/>
    </inkml:brush>
  </inkml:definitions>
  <inkml:traceGroup>
    <inkml:annotationXML>
      <emma:emma xmlns:emma="http://www.w3.org/2003/04/emma" version="1.0">
        <emma:interpretation id="{319815EE-A8DF-4547-B61B-E3993DAA62D4}" emma:medium="tactile" emma:mode="ink">
          <msink:context xmlns:msink="http://schemas.microsoft.com/ink/2010/main" type="writingRegion" rotatedBoundingBox="24717,4403 24752,4403 24752,4463 24717,4463"/>
        </emma:interpretation>
      </emma:emma>
    </inkml:annotationXML>
    <inkml:traceGroup>
      <inkml:annotationXML>
        <emma:emma xmlns:emma="http://www.w3.org/2003/04/emma" version="1.0">
          <emma:interpretation id="{87146C6B-D0FC-4B93-8D46-D5803954F7BA}" emma:medium="tactile" emma:mode="ink">
            <msink:context xmlns:msink="http://schemas.microsoft.com/ink/2010/main" type="paragraph" rotatedBoundingBox="24717,4403 24752,4403 24752,4463 24717,4463" alignmentLevel="1"/>
          </emma:interpretation>
        </emma:emma>
      </inkml:annotationXML>
      <inkml:traceGroup>
        <inkml:annotationXML>
          <emma:emma xmlns:emma="http://www.w3.org/2003/04/emma" version="1.0">
            <emma:interpretation id="{B99C362C-C77A-4F70-AEA2-AF6039587934}" emma:medium="tactile" emma:mode="ink">
              <msink:context xmlns:msink="http://schemas.microsoft.com/ink/2010/main" type="line" rotatedBoundingBox="24717,4403 24752,4403 24752,4463 24717,4463"/>
            </emma:interpretation>
          </emma:emma>
        </inkml:annotationXML>
        <inkml:traceGroup>
          <inkml:annotationXML>
            <emma:emma xmlns:emma="http://www.w3.org/2003/04/emma" version="1.0">
              <emma:interpretation id="{1CB38E0A-4C5B-4FAD-B0EB-2D03958EF7B6}" emma:medium="tactile" emma:mode="ink">
                <msink:context xmlns:msink="http://schemas.microsoft.com/ink/2010/main" type="inkWord" rotatedBoundingBox="24717,4403 24752,4403 24752,4463 24717,4463"/>
              </emma:interpretation>
            </emma:emma>
          </inkml:annotationXML>
          <inkml:trace contextRef="#ctx0" brushRef="#br0">20 45 18 0,'0'0'45'0,"0"0"20"16,0 0-42-16,0 0 1 16,0 0 19-16,0 0-29 15,0 0 3-15,0 0 0 16,-2-27-14-16,-1 24 42 15,0 2-38-15,3-2-4 16,0 0 38-16,0 1-19 16,-3-2-11-16,2 4-5 0,1-2 5 15,0 2-4-15,-3 0-7 16,3 0-14-16,-1 0-42 16,-3 0-71-16,4 0-10 15</inkml:trace>
          <inkml:trace contextRef="#ctx0" brushRef="#br0" timeOffset="136.83">20 45 94 0</inkml:trace>
        </inkml:traceGroup>
      </inkml:traceGroup>
    </inkml:traceGroup>
  </inkml:traceGroup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047" units="deg"/>
          <inkml:channel name="T" type="integer" max="2.14748E9" units="dev"/>
        </inkml:traceFormat>
        <inkml:channelProperties>
          <inkml:channelProperty channel="X" name="resolution" value="1516.99072" units="1/cm"/>
          <inkml:channelProperty channel="Y" name="resolution" value="2427.1853" units="1/cm"/>
          <inkml:channelProperty channel="F" name="resolution" value="5.68611" units="1/deg"/>
          <inkml:channelProperty channel="T" name="resolution" value="1" units="1/dev"/>
        </inkml:channelProperties>
      </inkml:inkSource>
      <inkml:timestamp xml:id="ts0" timeString="2021-05-22T11:10:45.186"/>
    </inkml:context>
    <inkml:brush xml:id="br0">
      <inkml:brushProperty name="width" value="0.06667" units="cm"/>
      <inkml:brushProperty name="height" value="0.06667" units="cm"/>
    </inkml:brush>
  </inkml:definitions>
  <inkml:trace contextRef="#ctx0" brushRef="#br0">0 0 25 0,'0'0'123'0,"0"0"-48"16,0 0-13-16,0 0 4 0,0 0-23 16,0 0-11-16,0 0 5 15,0 0-37-15,0 0 0 16,0 0-1-16,0 0-1 16,0 0-23-16,9 2-45 15,-2 4-71-15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047" units="deg"/>
          <inkml:channel name="T" type="integer" max="2.14748E9" units="dev"/>
        </inkml:traceFormat>
        <inkml:channelProperties>
          <inkml:channelProperty channel="X" name="resolution" value="1516.99072" units="1/cm"/>
          <inkml:channelProperty channel="Y" name="resolution" value="2427.1853" units="1/cm"/>
          <inkml:channelProperty channel="F" name="resolution" value="5.68611" units="1/deg"/>
          <inkml:channelProperty channel="T" name="resolution" value="1" units="1/dev"/>
        </inkml:channelProperties>
      </inkml:inkSource>
      <inkml:timestamp xml:id="ts0" timeString="2021-05-22T11:10:45.188"/>
    </inkml:context>
    <inkml:brush xml:id="br0">
      <inkml:brushProperty name="width" value="0.06667" units="cm"/>
      <inkml:brushProperty name="height" value="0.06667" units="cm"/>
    </inkml:brush>
  </inkml:definitions>
  <inkml:trace contextRef="#ctx0" brushRef="#br0">178 0 56 0,'0'0'4'16,"0"0"23"-16,-89 102 4 16,65-69 1-16,0-5-2 15,3 3-19-15,8 1-1 16,6-3-10-16,7 0-22 15,0-8-95-15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0"/>
  <sheetViews>
    <sheetView tabSelected="1" topLeftCell="F4" zoomScale="80" zoomScaleNormal="80" workbookViewId="0">
      <selection activeCell="AB22" sqref="AB22"/>
    </sheetView>
  </sheetViews>
  <sheetFormatPr defaultColWidth="14.42578125" defaultRowHeight="15" customHeight="1" x14ac:dyDescent="0.25"/>
  <cols>
    <col min="1" max="1" width="12" customWidth="1"/>
    <col min="2" max="11" width="3.85546875" customWidth="1"/>
    <col min="12" max="12" width="12" customWidth="1"/>
    <col min="13" max="13" width="9.5703125" customWidth="1"/>
    <col min="14" max="14" width="2.28515625" customWidth="1"/>
    <col min="15" max="15" width="20.5703125" style="140" customWidth="1"/>
    <col min="16" max="25" width="6.85546875" customWidth="1"/>
    <col min="26" max="26" width="16.28515625" customWidth="1"/>
    <col min="27" max="89" width="11.85546875" customWidth="1"/>
  </cols>
  <sheetData>
    <row r="1" spans="1:33" ht="27" customHeight="1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O1" s="262" t="s">
        <v>14</v>
      </c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53" t="s">
        <v>26</v>
      </c>
      <c r="AA1" s="41"/>
      <c r="AB1" s="41"/>
      <c r="AC1" s="41"/>
      <c r="AD1" s="41"/>
      <c r="AE1" s="41"/>
      <c r="AF1" s="41"/>
      <c r="AG1" s="42"/>
    </row>
    <row r="2" spans="1:33" ht="18.75" customHeight="1" thickBot="1" x14ac:dyDescent="0.3">
      <c r="A2" s="4" t="s">
        <v>1</v>
      </c>
      <c r="B2" s="34">
        <v>0</v>
      </c>
      <c r="C2" s="5">
        <v>1</v>
      </c>
      <c r="D2" s="5">
        <v>1</v>
      </c>
      <c r="E2" s="5">
        <v>1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7">
        <v>0</v>
      </c>
      <c r="L2" s="8">
        <f t="shared" ref="L2:L11" si="0">SUM(B2:K2)</f>
        <v>3</v>
      </c>
      <c r="M2" s="9">
        <f>L2+B12</f>
        <v>4</v>
      </c>
      <c r="O2" s="135" t="s">
        <v>0</v>
      </c>
      <c r="P2" s="53" t="s">
        <v>1</v>
      </c>
      <c r="Q2" s="54" t="s">
        <v>2</v>
      </c>
      <c r="R2" s="54" t="s">
        <v>3</v>
      </c>
      <c r="S2" s="54" t="s">
        <v>4</v>
      </c>
      <c r="T2" s="54" t="s">
        <v>5</v>
      </c>
      <c r="U2" s="54" t="s">
        <v>6</v>
      </c>
      <c r="V2" s="54" t="s">
        <v>7</v>
      </c>
      <c r="W2" s="54" t="s">
        <v>8</v>
      </c>
      <c r="X2" s="54" t="s">
        <v>9</v>
      </c>
      <c r="Y2" s="55" t="s">
        <v>10</v>
      </c>
      <c r="Z2" s="254"/>
      <c r="AA2" s="44"/>
      <c r="AB2" s="44"/>
      <c r="AC2" s="44"/>
      <c r="AD2" s="44"/>
      <c r="AE2" s="44"/>
      <c r="AF2" s="44"/>
      <c r="AG2" s="45"/>
    </row>
    <row r="3" spans="1:33" ht="18.75" customHeight="1" thickBot="1" x14ac:dyDescent="0.3">
      <c r="A3" s="10" t="s">
        <v>2</v>
      </c>
      <c r="B3" s="11">
        <v>0</v>
      </c>
      <c r="C3" s="35">
        <v>0</v>
      </c>
      <c r="D3" s="13">
        <v>1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3">
        <v>1</v>
      </c>
      <c r="K3" s="14">
        <v>0</v>
      </c>
      <c r="L3" s="15">
        <f t="shared" si="0"/>
        <v>2</v>
      </c>
      <c r="M3" s="9">
        <f>L3+C12</f>
        <v>4</v>
      </c>
      <c r="O3" s="136" t="s">
        <v>1</v>
      </c>
      <c r="P3" s="65" t="s">
        <v>16</v>
      </c>
      <c r="Q3" s="56">
        <v>1</v>
      </c>
      <c r="R3" s="56">
        <v>1</v>
      </c>
      <c r="S3" s="56">
        <v>1</v>
      </c>
      <c r="T3" s="57">
        <v>2</v>
      </c>
      <c r="U3" s="57">
        <v>2</v>
      </c>
      <c r="V3" s="58">
        <v>3</v>
      </c>
      <c r="W3" s="58">
        <v>3</v>
      </c>
      <c r="X3" s="57">
        <v>2</v>
      </c>
      <c r="Y3" s="162">
        <v>2</v>
      </c>
      <c r="Z3" s="167">
        <f>AVERAGE(P3:Y3)</f>
        <v>1.8888888888888888</v>
      </c>
      <c r="AA3" s="44"/>
      <c r="AB3" s="44"/>
      <c r="AC3" s="44"/>
      <c r="AD3" s="44"/>
      <c r="AE3" s="44"/>
      <c r="AF3" s="44"/>
      <c r="AG3" s="45"/>
    </row>
    <row r="4" spans="1:33" ht="18.75" customHeight="1" thickBot="1" x14ac:dyDescent="0.3">
      <c r="A4" s="10" t="s">
        <v>3</v>
      </c>
      <c r="B4" s="11">
        <v>0</v>
      </c>
      <c r="C4" s="13">
        <v>1</v>
      </c>
      <c r="D4" s="35">
        <v>0</v>
      </c>
      <c r="E4" s="12">
        <v>0</v>
      </c>
      <c r="F4" s="12">
        <v>0</v>
      </c>
      <c r="G4" s="13">
        <v>1</v>
      </c>
      <c r="H4" s="12">
        <v>0</v>
      </c>
      <c r="I4" s="12">
        <v>0</v>
      </c>
      <c r="J4" s="12">
        <v>0</v>
      </c>
      <c r="K4" s="14">
        <v>0</v>
      </c>
      <c r="L4" s="15">
        <f t="shared" si="0"/>
        <v>2</v>
      </c>
      <c r="M4" s="9">
        <f>L4+D12</f>
        <v>4</v>
      </c>
      <c r="O4" s="137" t="s">
        <v>2</v>
      </c>
      <c r="P4" s="66">
        <v>1</v>
      </c>
      <c r="Q4" s="59" t="s">
        <v>16</v>
      </c>
      <c r="R4" s="13">
        <v>1</v>
      </c>
      <c r="S4" s="50">
        <v>2</v>
      </c>
      <c r="T4" s="12">
        <v>3</v>
      </c>
      <c r="U4" s="50">
        <v>2</v>
      </c>
      <c r="V4" s="50">
        <v>2</v>
      </c>
      <c r="W4" s="50">
        <v>2</v>
      </c>
      <c r="X4" s="13">
        <v>1</v>
      </c>
      <c r="Y4" s="163">
        <v>2</v>
      </c>
      <c r="Z4" s="168">
        <f t="shared" ref="Z4:Z12" si="1">AVERAGE(P4:Y4)</f>
        <v>1.7777777777777777</v>
      </c>
      <c r="AA4" s="44"/>
      <c r="AB4" s="44"/>
      <c r="AC4" s="44"/>
      <c r="AD4" s="44"/>
      <c r="AE4" s="44"/>
      <c r="AF4" s="44"/>
      <c r="AG4" s="45"/>
    </row>
    <row r="5" spans="1:33" ht="18.75" customHeight="1" thickBot="1" x14ac:dyDescent="0.3">
      <c r="A5" s="10" t="s">
        <v>4</v>
      </c>
      <c r="B5" s="16">
        <v>1</v>
      </c>
      <c r="C5" s="12">
        <v>0</v>
      </c>
      <c r="D5" s="12">
        <v>0</v>
      </c>
      <c r="E5" s="35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7">
        <v>1</v>
      </c>
      <c r="L5" s="15">
        <f t="shared" si="0"/>
        <v>2</v>
      </c>
      <c r="M5" s="9">
        <f>L5+E12</f>
        <v>4</v>
      </c>
      <c r="O5" s="137" t="s">
        <v>3</v>
      </c>
      <c r="P5" s="66">
        <v>1</v>
      </c>
      <c r="Q5" s="13">
        <v>1</v>
      </c>
      <c r="R5" s="59" t="s">
        <v>16</v>
      </c>
      <c r="S5" s="50">
        <v>2</v>
      </c>
      <c r="T5" s="12">
        <v>3</v>
      </c>
      <c r="U5" s="13">
        <v>1</v>
      </c>
      <c r="V5" s="50">
        <v>2</v>
      </c>
      <c r="W5" s="50">
        <v>2</v>
      </c>
      <c r="X5" s="50">
        <v>2</v>
      </c>
      <c r="Y5" s="164">
        <v>3</v>
      </c>
      <c r="Z5" s="168">
        <f t="shared" si="1"/>
        <v>1.8888888888888888</v>
      </c>
      <c r="AA5" s="44"/>
      <c r="AB5" s="44"/>
      <c r="AC5" s="44"/>
      <c r="AD5" s="44"/>
      <c r="AE5" s="44"/>
      <c r="AF5" s="44"/>
      <c r="AG5" s="45"/>
    </row>
    <row r="6" spans="1:33" ht="18.75" customHeight="1" thickBot="1" x14ac:dyDescent="0.3">
      <c r="A6" s="10" t="s">
        <v>5</v>
      </c>
      <c r="B6" s="11">
        <v>0</v>
      </c>
      <c r="C6" s="12">
        <v>0</v>
      </c>
      <c r="D6" s="12">
        <v>0</v>
      </c>
      <c r="E6" s="13">
        <v>1</v>
      </c>
      <c r="F6" s="35">
        <v>0</v>
      </c>
      <c r="G6" s="12">
        <v>0</v>
      </c>
      <c r="H6" s="12">
        <v>0</v>
      </c>
      <c r="I6" s="12">
        <v>0</v>
      </c>
      <c r="J6" s="12">
        <v>0</v>
      </c>
      <c r="K6" s="14">
        <v>0</v>
      </c>
      <c r="L6" s="15">
        <f t="shared" si="0"/>
        <v>1</v>
      </c>
      <c r="M6" s="9">
        <f>L6+F12</f>
        <v>2</v>
      </c>
      <c r="O6" s="137" t="s">
        <v>4</v>
      </c>
      <c r="P6" s="67">
        <v>1</v>
      </c>
      <c r="Q6" s="50">
        <v>2</v>
      </c>
      <c r="R6" s="50">
        <v>2</v>
      </c>
      <c r="S6" s="59" t="s">
        <v>16</v>
      </c>
      <c r="T6" s="49">
        <v>1</v>
      </c>
      <c r="U6" s="12">
        <v>3</v>
      </c>
      <c r="V6" s="12">
        <v>3</v>
      </c>
      <c r="W6" s="12">
        <v>3</v>
      </c>
      <c r="X6" s="50">
        <v>2</v>
      </c>
      <c r="Y6" s="161">
        <v>1</v>
      </c>
      <c r="Z6" s="168">
        <f t="shared" si="1"/>
        <v>2</v>
      </c>
      <c r="AA6" s="44"/>
      <c r="AB6" s="44"/>
      <c r="AC6" s="44"/>
      <c r="AD6" s="44"/>
      <c r="AE6" s="44"/>
      <c r="AF6" s="44"/>
      <c r="AG6" s="45"/>
    </row>
    <row r="7" spans="1:33" ht="18.75" customHeight="1" thickBot="1" x14ac:dyDescent="0.3">
      <c r="A7" s="10" t="s">
        <v>6</v>
      </c>
      <c r="B7" s="11">
        <v>0</v>
      </c>
      <c r="C7" s="12">
        <v>0</v>
      </c>
      <c r="D7" s="12">
        <v>0</v>
      </c>
      <c r="E7" s="12">
        <v>0</v>
      </c>
      <c r="F7" s="12">
        <v>0</v>
      </c>
      <c r="G7" s="35">
        <v>0</v>
      </c>
      <c r="H7" s="13">
        <v>1</v>
      </c>
      <c r="I7" s="12">
        <v>0</v>
      </c>
      <c r="J7" s="12">
        <v>0</v>
      </c>
      <c r="K7" s="14">
        <v>0</v>
      </c>
      <c r="L7" s="15">
        <f t="shared" si="0"/>
        <v>1</v>
      </c>
      <c r="M7" s="9">
        <f>L7+G12</f>
        <v>4</v>
      </c>
      <c r="O7" s="137" t="s">
        <v>5</v>
      </c>
      <c r="P7" s="68">
        <v>2</v>
      </c>
      <c r="Q7" s="12">
        <v>3</v>
      </c>
      <c r="R7" s="12">
        <v>3</v>
      </c>
      <c r="S7" s="13">
        <v>1</v>
      </c>
      <c r="T7" s="59" t="s">
        <v>16</v>
      </c>
      <c r="U7" s="12">
        <v>4</v>
      </c>
      <c r="V7" s="12">
        <v>3</v>
      </c>
      <c r="W7" s="12">
        <v>3</v>
      </c>
      <c r="X7" s="50">
        <v>2</v>
      </c>
      <c r="Y7" s="165">
        <v>1</v>
      </c>
      <c r="Z7" s="174">
        <f t="shared" si="1"/>
        <v>2.4444444444444446</v>
      </c>
      <c r="AA7" s="44"/>
      <c r="AB7" s="44"/>
      <c r="AC7" s="44"/>
      <c r="AD7" s="44"/>
      <c r="AE7" s="44"/>
      <c r="AF7" s="44"/>
      <c r="AG7" s="45"/>
    </row>
    <row r="8" spans="1:33" ht="18.75" customHeight="1" thickBot="1" x14ac:dyDescent="0.3">
      <c r="A8" s="10" t="s">
        <v>7</v>
      </c>
      <c r="B8" s="11">
        <v>0</v>
      </c>
      <c r="C8" s="12">
        <v>0</v>
      </c>
      <c r="D8" s="12">
        <v>0</v>
      </c>
      <c r="E8" s="12">
        <v>0</v>
      </c>
      <c r="F8" s="12">
        <v>0</v>
      </c>
      <c r="G8" s="13">
        <v>1</v>
      </c>
      <c r="H8" s="35">
        <v>0</v>
      </c>
      <c r="I8" s="13">
        <v>1</v>
      </c>
      <c r="J8" s="13">
        <v>1</v>
      </c>
      <c r="K8" s="14">
        <v>0</v>
      </c>
      <c r="L8" s="15">
        <f t="shared" si="0"/>
        <v>3</v>
      </c>
      <c r="M8" s="9">
        <f>L8+H12</f>
        <v>4</v>
      </c>
      <c r="O8" s="137" t="s">
        <v>6</v>
      </c>
      <c r="P8" s="68">
        <v>2</v>
      </c>
      <c r="Q8" s="50">
        <v>2</v>
      </c>
      <c r="R8" s="49">
        <v>1</v>
      </c>
      <c r="S8" s="12">
        <v>3</v>
      </c>
      <c r="T8" s="12">
        <v>4</v>
      </c>
      <c r="U8" s="59" t="s">
        <v>16</v>
      </c>
      <c r="V8" s="13">
        <v>1</v>
      </c>
      <c r="W8" s="49">
        <v>1</v>
      </c>
      <c r="X8" s="50">
        <v>2</v>
      </c>
      <c r="Y8" s="164">
        <v>3</v>
      </c>
      <c r="Z8" s="174">
        <f t="shared" si="1"/>
        <v>2.1111111111111112</v>
      </c>
      <c r="AA8" s="44"/>
      <c r="AB8" s="44"/>
      <c r="AC8" s="44"/>
      <c r="AD8" s="44"/>
      <c r="AE8" s="44"/>
      <c r="AF8" s="44"/>
      <c r="AG8" s="45"/>
    </row>
    <row r="9" spans="1:33" ht="18.75" customHeight="1" thickBot="1" x14ac:dyDescent="0.3">
      <c r="A9" s="10" t="s">
        <v>8</v>
      </c>
      <c r="B9" s="11">
        <v>0</v>
      </c>
      <c r="C9" s="12">
        <v>0</v>
      </c>
      <c r="D9" s="12">
        <v>0</v>
      </c>
      <c r="E9" s="12">
        <v>0</v>
      </c>
      <c r="F9" s="12">
        <v>0</v>
      </c>
      <c r="G9" s="13">
        <v>1</v>
      </c>
      <c r="H9" s="12">
        <v>0</v>
      </c>
      <c r="I9" s="35">
        <v>0</v>
      </c>
      <c r="J9" s="12">
        <v>0</v>
      </c>
      <c r="K9" s="14">
        <v>0</v>
      </c>
      <c r="L9" s="15">
        <f t="shared" si="0"/>
        <v>1</v>
      </c>
      <c r="M9" s="9">
        <f>L9+I12</f>
        <v>3</v>
      </c>
      <c r="O9" s="137" t="s">
        <v>7</v>
      </c>
      <c r="P9" s="69">
        <v>3</v>
      </c>
      <c r="Q9" s="50">
        <v>2</v>
      </c>
      <c r="R9" s="12">
        <v>2</v>
      </c>
      <c r="S9" s="12">
        <v>3</v>
      </c>
      <c r="T9" s="12">
        <v>3</v>
      </c>
      <c r="U9" s="13">
        <v>1</v>
      </c>
      <c r="V9" s="59" t="s">
        <v>16</v>
      </c>
      <c r="W9" s="13">
        <v>1</v>
      </c>
      <c r="X9" s="13">
        <v>1</v>
      </c>
      <c r="Y9" s="163">
        <v>2</v>
      </c>
      <c r="Z9" s="168">
        <f t="shared" si="1"/>
        <v>2</v>
      </c>
      <c r="AA9" s="44"/>
      <c r="AB9" s="44"/>
      <c r="AC9" s="44"/>
      <c r="AD9" s="44"/>
      <c r="AE9" s="44"/>
      <c r="AF9" s="44"/>
      <c r="AG9" s="45"/>
    </row>
    <row r="10" spans="1:33" ht="18.75" customHeight="1" thickBot="1" x14ac:dyDescent="0.3">
      <c r="A10" s="10" t="s">
        <v>9</v>
      </c>
      <c r="B10" s="11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3">
        <v>1</v>
      </c>
      <c r="J10" s="35">
        <v>0</v>
      </c>
      <c r="K10" s="17">
        <v>1</v>
      </c>
      <c r="L10" s="15">
        <f t="shared" si="0"/>
        <v>2</v>
      </c>
      <c r="M10" s="9">
        <f>L10+J12</f>
        <v>5</v>
      </c>
      <c r="O10" s="137" t="s">
        <v>8</v>
      </c>
      <c r="P10" s="69">
        <v>3</v>
      </c>
      <c r="Q10" s="50">
        <v>2</v>
      </c>
      <c r="R10" s="50">
        <v>2</v>
      </c>
      <c r="S10" s="12">
        <v>3</v>
      </c>
      <c r="T10" s="12">
        <v>3</v>
      </c>
      <c r="U10" s="13">
        <v>1</v>
      </c>
      <c r="V10" s="49">
        <v>1</v>
      </c>
      <c r="W10" s="59" t="s">
        <v>16</v>
      </c>
      <c r="X10" s="49">
        <v>1</v>
      </c>
      <c r="Y10" s="163">
        <v>2</v>
      </c>
      <c r="Z10" s="169">
        <f t="shared" si="1"/>
        <v>2</v>
      </c>
      <c r="AA10" s="44"/>
      <c r="AB10" s="44"/>
      <c r="AC10" s="44"/>
      <c r="AD10" s="44"/>
      <c r="AE10" s="44"/>
      <c r="AF10" s="44"/>
      <c r="AG10" s="45"/>
    </row>
    <row r="11" spans="1:33" ht="18.75" customHeight="1" thickBot="1" x14ac:dyDescent="0.3">
      <c r="A11" s="18" t="s">
        <v>10</v>
      </c>
      <c r="B11" s="19">
        <v>0</v>
      </c>
      <c r="C11" s="20">
        <v>0</v>
      </c>
      <c r="D11" s="12">
        <v>0</v>
      </c>
      <c r="E11" s="12">
        <v>0</v>
      </c>
      <c r="F11" s="13">
        <v>1</v>
      </c>
      <c r="G11" s="20">
        <v>0</v>
      </c>
      <c r="H11" s="20">
        <v>0</v>
      </c>
      <c r="I11" s="20">
        <v>0</v>
      </c>
      <c r="J11" s="21">
        <v>1</v>
      </c>
      <c r="K11" s="36">
        <v>0</v>
      </c>
      <c r="L11" s="22">
        <f t="shared" si="0"/>
        <v>2</v>
      </c>
      <c r="M11" s="9">
        <f>L11+K12</f>
        <v>4</v>
      </c>
      <c r="O11" s="137" t="s">
        <v>9</v>
      </c>
      <c r="P11" s="68">
        <v>2</v>
      </c>
      <c r="Q11" s="49">
        <v>1</v>
      </c>
      <c r="R11" s="50">
        <v>2</v>
      </c>
      <c r="S11" s="50">
        <v>2</v>
      </c>
      <c r="T11" s="50">
        <v>2</v>
      </c>
      <c r="U11" s="50">
        <v>2</v>
      </c>
      <c r="V11" s="49">
        <v>1</v>
      </c>
      <c r="W11" s="13">
        <v>1</v>
      </c>
      <c r="X11" s="59" t="s">
        <v>16</v>
      </c>
      <c r="Y11" s="161">
        <v>1</v>
      </c>
      <c r="Z11" s="171">
        <f t="shared" si="1"/>
        <v>1.5555555555555556</v>
      </c>
      <c r="AA11" s="44"/>
      <c r="AB11" s="44"/>
      <c r="AC11" s="44"/>
      <c r="AD11" s="44"/>
      <c r="AE11" s="44"/>
      <c r="AF11" s="44"/>
      <c r="AG11" s="45"/>
    </row>
    <row r="12" spans="1:33" ht="18.75" customHeight="1" thickBot="1" x14ac:dyDescent="0.3">
      <c r="A12" s="23" t="s">
        <v>13</v>
      </c>
      <c r="B12" s="24">
        <f t="shared" ref="B12:K12" si="2">SUM(B2:B11)</f>
        <v>1</v>
      </c>
      <c r="C12" s="25">
        <f t="shared" si="2"/>
        <v>2</v>
      </c>
      <c r="D12" s="25">
        <f t="shared" si="2"/>
        <v>2</v>
      </c>
      <c r="E12" s="25">
        <f t="shared" si="2"/>
        <v>2</v>
      </c>
      <c r="F12" s="25">
        <f t="shared" si="2"/>
        <v>1</v>
      </c>
      <c r="G12" s="25">
        <f t="shared" si="2"/>
        <v>3</v>
      </c>
      <c r="H12" s="25">
        <f t="shared" si="2"/>
        <v>1</v>
      </c>
      <c r="I12" s="25">
        <f t="shared" si="2"/>
        <v>2</v>
      </c>
      <c r="J12" s="25">
        <f t="shared" si="2"/>
        <v>3</v>
      </c>
      <c r="K12" s="26">
        <f t="shared" si="2"/>
        <v>2</v>
      </c>
      <c r="L12" s="27"/>
      <c r="M12" s="28">
        <f t="shared" ref="M12" si="3">SUM(M2:M11)</f>
        <v>38</v>
      </c>
      <c r="O12" s="138" t="s">
        <v>10</v>
      </c>
      <c r="P12" s="70">
        <v>2</v>
      </c>
      <c r="Q12" s="60">
        <v>2</v>
      </c>
      <c r="R12" s="61">
        <v>3</v>
      </c>
      <c r="S12" s="62">
        <v>1</v>
      </c>
      <c r="T12" s="63">
        <v>1</v>
      </c>
      <c r="U12" s="61">
        <v>3</v>
      </c>
      <c r="V12" s="60">
        <v>2</v>
      </c>
      <c r="W12" s="60">
        <v>2</v>
      </c>
      <c r="X12" s="63">
        <v>1</v>
      </c>
      <c r="Y12" s="166" t="s">
        <v>16</v>
      </c>
      <c r="Z12" s="170">
        <f t="shared" si="1"/>
        <v>1.8888888888888888</v>
      </c>
      <c r="AA12" s="44"/>
      <c r="AB12" s="44"/>
      <c r="AC12" s="44"/>
      <c r="AD12" s="44"/>
      <c r="AE12" s="44"/>
      <c r="AF12" s="44"/>
      <c r="AG12" s="45"/>
    </row>
    <row r="13" spans="1:33" ht="24" thickBot="1" x14ac:dyDescent="0.3">
      <c r="A13" s="29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O13" s="139" t="s">
        <v>15</v>
      </c>
      <c r="P13" s="51">
        <f>MAX(P3:P12)</f>
        <v>3</v>
      </c>
      <c r="Q13" s="51">
        <f t="shared" ref="Q13:Y13" si="4">MAX(Q3:Q12)</f>
        <v>3</v>
      </c>
      <c r="R13" s="51">
        <f t="shared" si="4"/>
        <v>3</v>
      </c>
      <c r="S13" s="51">
        <f t="shared" si="4"/>
        <v>3</v>
      </c>
      <c r="T13" s="141">
        <f t="shared" si="4"/>
        <v>4</v>
      </c>
      <c r="U13" s="141">
        <f t="shared" si="4"/>
        <v>4</v>
      </c>
      <c r="V13" s="51">
        <f t="shared" si="4"/>
        <v>3</v>
      </c>
      <c r="W13" s="51">
        <f t="shared" si="4"/>
        <v>3</v>
      </c>
      <c r="X13" s="142">
        <f t="shared" si="4"/>
        <v>2</v>
      </c>
      <c r="Y13" s="52">
        <f t="shared" si="4"/>
        <v>3</v>
      </c>
      <c r="AA13" s="43"/>
      <c r="AB13" s="44"/>
      <c r="AC13" s="44"/>
      <c r="AD13" s="44"/>
      <c r="AE13" s="44"/>
      <c r="AF13" s="44"/>
      <c r="AG13" s="45"/>
    </row>
    <row r="14" spans="1:33" ht="24" thickBot="1" x14ac:dyDescent="0.4">
      <c r="A14" s="29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O14" s="172" t="s">
        <v>27</v>
      </c>
      <c r="P14" s="264">
        <f>MIN(P13:Y13)</f>
        <v>2</v>
      </c>
      <c r="Q14" s="265"/>
      <c r="R14" s="265"/>
      <c r="S14" s="265"/>
      <c r="T14" s="265"/>
      <c r="U14" s="265"/>
      <c r="V14" s="265"/>
      <c r="W14" s="265"/>
      <c r="X14" s="265"/>
      <c r="Y14" s="266"/>
      <c r="AA14" s="43"/>
      <c r="AB14" s="44"/>
      <c r="AC14" s="44"/>
      <c r="AD14" s="44"/>
      <c r="AE14" s="44"/>
      <c r="AF14" s="44"/>
      <c r="AG14" s="45"/>
    </row>
    <row r="15" spans="1:33" ht="24" thickBot="1" x14ac:dyDescent="0.4">
      <c r="A15" s="29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O15" s="173" t="s">
        <v>28</v>
      </c>
      <c r="P15" s="267">
        <f>MAX(P13:Y13)</f>
        <v>4</v>
      </c>
      <c r="Q15" s="268"/>
      <c r="R15" s="268"/>
      <c r="S15" s="268"/>
      <c r="T15" s="268"/>
      <c r="U15" s="268"/>
      <c r="V15" s="268"/>
      <c r="W15" s="268"/>
      <c r="X15" s="268"/>
      <c r="Y15" s="269"/>
      <c r="AA15" s="43"/>
      <c r="AB15" s="44"/>
      <c r="AC15" s="44"/>
      <c r="AD15" s="44"/>
      <c r="AE15" s="44"/>
      <c r="AF15" s="44"/>
      <c r="AG15" s="45"/>
    </row>
    <row r="16" spans="1:33" ht="24" thickBot="1" x14ac:dyDescent="0.4">
      <c r="A16" s="2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O16" s="158" t="s">
        <v>22</v>
      </c>
      <c r="P16" s="270" t="s">
        <v>29</v>
      </c>
      <c r="Q16" s="271"/>
      <c r="R16" s="271"/>
      <c r="S16" s="271"/>
      <c r="T16" s="271"/>
      <c r="U16" s="271"/>
      <c r="V16" s="271"/>
      <c r="W16" s="271"/>
      <c r="X16" s="271"/>
      <c r="Y16" s="272"/>
      <c r="AA16" s="43"/>
      <c r="AB16" s="44"/>
      <c r="AC16" s="44"/>
      <c r="AD16" s="44"/>
      <c r="AE16" s="44"/>
      <c r="AF16" s="44"/>
      <c r="AG16" s="45"/>
    </row>
    <row r="17" spans="1:33" ht="18.75" customHeight="1" thickBot="1" x14ac:dyDescent="0.4">
      <c r="A17" s="2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O17" s="159" t="s">
        <v>23</v>
      </c>
      <c r="P17" s="273" t="s">
        <v>30</v>
      </c>
      <c r="Q17" s="274"/>
      <c r="R17" s="274"/>
      <c r="S17" s="274"/>
      <c r="T17" s="274"/>
      <c r="U17" s="274"/>
      <c r="V17" s="274"/>
      <c r="W17" s="274"/>
      <c r="X17" s="274"/>
      <c r="Y17" s="275"/>
      <c r="AA17" s="43"/>
      <c r="AB17" s="44"/>
      <c r="AC17" s="44"/>
      <c r="AD17" s="44"/>
      <c r="AE17" s="44"/>
      <c r="AF17" s="44"/>
      <c r="AG17" s="45"/>
    </row>
    <row r="18" spans="1:33" ht="18.75" customHeight="1" thickBot="1" x14ac:dyDescent="0.35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O18" s="258" t="s">
        <v>24</v>
      </c>
      <c r="P18" s="155">
        <f>AVERAGE(P3:P12)</f>
        <v>1.8888888888888888</v>
      </c>
      <c r="Q18" s="156">
        <f>AVERAGE(Q3:Q12)</f>
        <v>1.7777777777777777</v>
      </c>
      <c r="R18" s="156">
        <f t="shared" ref="R18:Y18" si="5">AVERAGE(R3:R12)</f>
        <v>1.8888888888888888</v>
      </c>
      <c r="S18" s="156">
        <f t="shared" si="5"/>
        <v>2</v>
      </c>
      <c r="T18" s="156">
        <f t="shared" si="5"/>
        <v>2.4444444444444446</v>
      </c>
      <c r="U18" s="156">
        <f t="shared" si="5"/>
        <v>2.1111111111111112</v>
      </c>
      <c r="V18" s="156">
        <f t="shared" si="5"/>
        <v>2</v>
      </c>
      <c r="W18" s="156">
        <f t="shared" si="5"/>
        <v>2</v>
      </c>
      <c r="X18" s="156">
        <f t="shared" si="5"/>
        <v>1.5555555555555556</v>
      </c>
      <c r="Y18" s="157">
        <f t="shared" si="5"/>
        <v>1.8888888888888888</v>
      </c>
      <c r="AA18" s="43"/>
      <c r="AB18" s="44"/>
      <c r="AC18" s="44"/>
      <c r="AD18" s="44"/>
      <c r="AE18" s="44"/>
      <c r="AF18" s="44"/>
      <c r="AG18" s="45"/>
    </row>
    <row r="19" spans="1:33" ht="18.75" customHeight="1" thickBot="1" x14ac:dyDescent="0.4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O19" s="259"/>
      <c r="P19" s="255">
        <f>MEDIAN(P18:Y18)</f>
        <v>1.9444444444444444</v>
      </c>
      <c r="Q19" s="256"/>
      <c r="R19" s="256"/>
      <c r="S19" s="256"/>
      <c r="T19" s="256"/>
      <c r="U19" s="256"/>
      <c r="V19" s="256"/>
      <c r="W19" s="256"/>
      <c r="X19" s="256"/>
      <c r="Y19" s="257"/>
      <c r="AA19" s="46"/>
      <c r="AB19" s="47"/>
      <c r="AC19" s="47"/>
      <c r="AD19" s="47"/>
      <c r="AE19" s="47"/>
      <c r="AF19" s="47"/>
      <c r="AG19" s="48"/>
    </row>
    <row r="20" spans="1:33" ht="38.25" thickBot="1" x14ac:dyDescent="0.3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O20" s="160" t="s">
        <v>25</v>
      </c>
      <c r="P20" s="260">
        <f>AVERAGE(P18:Y18)</f>
        <v>1.9555555555555557</v>
      </c>
      <c r="Q20" s="260"/>
      <c r="R20" s="260"/>
      <c r="S20" s="260"/>
      <c r="T20" s="260"/>
      <c r="U20" s="260"/>
      <c r="V20" s="260"/>
      <c r="W20" s="260"/>
      <c r="X20" s="260"/>
      <c r="Y20" s="261"/>
    </row>
    <row r="21" spans="1:33" ht="18.75" customHeight="1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</row>
    <row r="22" spans="1:33" ht="18.75" customHeight="1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</row>
    <row r="23" spans="1:33" ht="18.75" customHeight="1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</row>
    <row r="24" spans="1:33" ht="18.75" customHeight="1" x14ac:dyDescent="0.25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</row>
    <row r="25" spans="1:33" ht="18.75" customHeight="1" x14ac:dyDescent="0.25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pans="1:33" ht="18.75" customHeight="1" x14ac:dyDescent="0.2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</row>
    <row r="27" spans="1:33" ht="18.75" customHeight="1" x14ac:dyDescent="0.2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33" ht="18.75" customHeight="1" x14ac:dyDescent="0.25">
      <c r="A28" s="31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</row>
    <row r="29" spans="1:33" ht="18.75" customHeight="1" x14ac:dyDescent="0.25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33" ht="18.75" customHeight="1" x14ac:dyDescent="0.25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33" ht="18.75" customHeight="1" x14ac:dyDescent="0.2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</row>
    <row r="32" spans="1:33" ht="18.75" customHeight="1" x14ac:dyDescent="0.2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</row>
    <row r="33" spans="1:13" ht="18.75" customHeight="1" x14ac:dyDescent="0.2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</row>
    <row r="34" spans="1:13" ht="18.75" customHeight="1" x14ac:dyDescent="0.25">
      <c r="A34" s="31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</row>
    <row r="35" spans="1:13" ht="18.75" customHeight="1" x14ac:dyDescent="0.2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</row>
    <row r="36" spans="1:13" ht="18.75" customHeight="1" x14ac:dyDescent="0.25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 ht="18.75" customHeight="1" x14ac:dyDescent="0.2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</row>
    <row r="38" spans="1:13" ht="18.75" customHeight="1" x14ac:dyDescent="0.25">
      <c r="A38" s="31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</row>
    <row r="39" spans="1:13" ht="18.75" customHeight="1" x14ac:dyDescent="0.25">
      <c r="A39" s="31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</row>
    <row r="40" spans="1:13" ht="18.75" customHeight="1" x14ac:dyDescent="0.25">
      <c r="A40" s="31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</row>
    <row r="41" spans="1:13" ht="18.75" customHeight="1" x14ac:dyDescent="0.25">
      <c r="A41" s="31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</row>
    <row r="42" spans="1:13" ht="18.75" customHeight="1" x14ac:dyDescent="0.25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</row>
    <row r="43" spans="1:13" ht="18.75" customHeight="1" x14ac:dyDescent="0.25">
      <c r="A43" s="31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</row>
    <row r="44" spans="1:13" ht="18.75" customHeight="1" x14ac:dyDescent="0.25">
      <c r="A44" s="31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</row>
    <row r="45" spans="1:13" ht="18.75" customHeight="1" x14ac:dyDescent="0.25">
      <c r="A45" s="31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</row>
    <row r="46" spans="1:13" ht="18.75" customHeight="1" x14ac:dyDescent="0.25">
      <c r="A46" s="31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</row>
    <row r="47" spans="1:13" ht="18.75" customHeight="1" x14ac:dyDescent="0.25">
      <c r="A47" s="31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</row>
    <row r="48" spans="1:13" ht="18.75" customHeight="1" x14ac:dyDescent="0.25">
      <c r="A48" s="31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</row>
    <row r="49" spans="1:13" ht="18.75" customHeight="1" x14ac:dyDescent="0.25">
      <c r="A49" s="31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</row>
    <row r="50" spans="1:13" ht="18.75" customHeight="1" x14ac:dyDescent="0.25">
      <c r="A50" s="31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</row>
    <row r="51" spans="1:13" ht="18.75" customHeight="1" x14ac:dyDescent="0.25">
      <c r="A51" s="31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</row>
    <row r="52" spans="1:13" ht="18.75" customHeight="1" x14ac:dyDescent="0.25">
      <c r="A52" s="31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</row>
    <row r="53" spans="1:13" ht="18.75" customHeight="1" x14ac:dyDescent="0.25">
      <c r="A53" s="31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</row>
    <row r="54" spans="1:13" ht="18.75" customHeight="1" x14ac:dyDescent="0.25">
      <c r="A54" s="31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</row>
    <row r="55" spans="1:13" ht="18.75" customHeight="1" x14ac:dyDescent="0.25">
      <c r="A55" s="31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</row>
    <row r="56" spans="1:13" ht="18.75" customHeight="1" x14ac:dyDescent="0.25">
      <c r="A56" s="31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7" spans="1:13" ht="18.75" customHeight="1" x14ac:dyDescent="0.25">
      <c r="A57" s="31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</row>
    <row r="58" spans="1:13" ht="18.75" customHeight="1" x14ac:dyDescent="0.25">
      <c r="A58" s="31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</row>
    <row r="59" spans="1:13" ht="18.75" customHeight="1" x14ac:dyDescent="0.25">
      <c r="A59" s="31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</row>
    <row r="60" spans="1:13" ht="18.75" customHeight="1" x14ac:dyDescent="0.25">
      <c r="A60" s="31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</row>
    <row r="61" spans="1:13" ht="18.75" customHeight="1" x14ac:dyDescent="0.25">
      <c r="A61" s="31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</row>
    <row r="62" spans="1:13" ht="18.75" customHeight="1" x14ac:dyDescent="0.25">
      <c r="A62" s="31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</row>
    <row r="63" spans="1:13" ht="18.75" customHeight="1" x14ac:dyDescent="0.25">
      <c r="A63" s="31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</row>
    <row r="64" spans="1:13" ht="18.75" customHeight="1" x14ac:dyDescent="0.25">
      <c r="A64" s="31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</row>
    <row r="65" spans="1:13" ht="18.75" customHeight="1" x14ac:dyDescent="0.25">
      <c r="A65" s="31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</row>
    <row r="66" spans="1:13" ht="18.75" customHeight="1" x14ac:dyDescent="0.25">
      <c r="A66" s="31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</row>
    <row r="67" spans="1:13" ht="18.75" customHeight="1" x14ac:dyDescent="0.25">
      <c r="A67" s="31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</row>
    <row r="68" spans="1:13" ht="18.75" customHeight="1" x14ac:dyDescent="0.25">
      <c r="A68" s="31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</row>
    <row r="69" spans="1:13" ht="18.75" customHeight="1" x14ac:dyDescent="0.25">
      <c r="A69" s="31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</row>
    <row r="70" spans="1:13" ht="18.75" customHeight="1" x14ac:dyDescent="0.25">
      <c r="A70" s="31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</row>
    <row r="71" spans="1:13" ht="18.75" customHeight="1" x14ac:dyDescent="0.25">
      <c r="A71" s="31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</row>
    <row r="72" spans="1:13" ht="18.75" customHeight="1" x14ac:dyDescent="0.25">
      <c r="A72" s="31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</row>
    <row r="73" spans="1:13" ht="18.75" customHeight="1" x14ac:dyDescent="0.25">
      <c r="A73" s="31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</row>
    <row r="74" spans="1:13" ht="18.75" customHeight="1" x14ac:dyDescent="0.25">
      <c r="A74" s="31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</row>
    <row r="75" spans="1:13" ht="18.75" customHeight="1" x14ac:dyDescent="0.25">
      <c r="A75" s="31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</row>
    <row r="76" spans="1:13" ht="18.75" customHeight="1" x14ac:dyDescent="0.25">
      <c r="A76" s="31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</row>
    <row r="77" spans="1:13" ht="18.75" customHeight="1" x14ac:dyDescent="0.25">
      <c r="A77" s="31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</row>
    <row r="78" spans="1:13" ht="18.75" customHeight="1" x14ac:dyDescent="0.25">
      <c r="A78" s="31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</row>
    <row r="79" spans="1:13" ht="18.75" customHeight="1" x14ac:dyDescent="0.25">
      <c r="A79" s="31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</row>
    <row r="80" spans="1:13" ht="18.75" customHeight="1" x14ac:dyDescent="0.25">
      <c r="A80" s="31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</row>
    <row r="81" spans="1:13" ht="18.75" customHeight="1" x14ac:dyDescent="0.25">
      <c r="A81" s="31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</row>
    <row r="82" spans="1:13" ht="18.75" customHeight="1" x14ac:dyDescent="0.25">
      <c r="A82" s="31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ht="18.75" customHeight="1" x14ac:dyDescent="0.25">
      <c r="A83" s="31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ht="18.75" customHeight="1" x14ac:dyDescent="0.25">
      <c r="A84" s="31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ht="18.75" customHeight="1" x14ac:dyDescent="0.25">
      <c r="A85" s="31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ht="18.75" customHeight="1" x14ac:dyDescent="0.25">
      <c r="A86" s="31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</row>
    <row r="87" spans="1:13" ht="18.75" customHeight="1" x14ac:dyDescent="0.25">
      <c r="A87" s="31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</row>
    <row r="88" spans="1:13" ht="18.75" customHeight="1" x14ac:dyDescent="0.25">
      <c r="A88" s="31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</row>
    <row r="89" spans="1:13" ht="18.75" customHeight="1" x14ac:dyDescent="0.25">
      <c r="A89" s="31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</row>
    <row r="90" spans="1:13" ht="18.75" customHeight="1" x14ac:dyDescent="0.25">
      <c r="A90" s="31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</row>
    <row r="91" spans="1:13" ht="18.75" customHeight="1" x14ac:dyDescent="0.25">
      <c r="A91" s="31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ht="18.75" customHeight="1" x14ac:dyDescent="0.25">
      <c r="A92" s="31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</row>
    <row r="93" spans="1:13" ht="18.75" customHeight="1" x14ac:dyDescent="0.25">
      <c r="A93" s="31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</row>
    <row r="94" spans="1:13" ht="18.75" customHeight="1" x14ac:dyDescent="0.25">
      <c r="A94" s="31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</row>
    <row r="95" spans="1:13" ht="18.75" customHeight="1" x14ac:dyDescent="0.25">
      <c r="A95" s="31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</row>
    <row r="96" spans="1:13" ht="18.75" customHeight="1" x14ac:dyDescent="0.25">
      <c r="A96" s="31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</row>
    <row r="97" spans="1:13" ht="18.75" customHeight="1" x14ac:dyDescent="0.25">
      <c r="A97" s="31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</row>
    <row r="98" spans="1:13" ht="18.75" customHeight="1" x14ac:dyDescent="0.25">
      <c r="A98" s="31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ht="18.75" customHeight="1" x14ac:dyDescent="0.25">
      <c r="A99" s="31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ht="18.75" customHeight="1" x14ac:dyDescent="0.25">
      <c r="A100" s="31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</row>
  </sheetData>
  <customSheetViews>
    <customSheetView guid="{242195EF-1BA9-4DD7-B6CB-B6756D3C6090}" scale="80">
      <selection activeCell="P17" sqref="P17"/>
      <pageMargins left="0.7" right="0.7" top="0.75" bottom="0.75" header="0" footer="0"/>
      <pageSetup paperSize="9" orientation="portrait" r:id="rId1"/>
    </customSheetView>
  </customSheetViews>
  <mergeCells count="9">
    <mergeCell ref="Z1:Z2"/>
    <mergeCell ref="P19:Y19"/>
    <mergeCell ref="O18:O19"/>
    <mergeCell ref="P20:Y20"/>
    <mergeCell ref="O1:Y1"/>
    <mergeCell ref="P14:Y14"/>
    <mergeCell ref="P15:Y15"/>
    <mergeCell ref="P16:Y16"/>
    <mergeCell ref="P17:Y17"/>
  </mergeCells>
  <pageMargins left="0.7" right="0.7" top="0.75" bottom="0.75" header="0" footer="0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1"/>
  <sheetViews>
    <sheetView topLeftCell="G1" zoomScale="80" zoomScaleNormal="80" workbookViewId="0">
      <selection activeCell="AB2" sqref="AB2"/>
    </sheetView>
  </sheetViews>
  <sheetFormatPr defaultColWidth="14.42578125" defaultRowHeight="15" customHeight="1" x14ac:dyDescent="0.25"/>
  <cols>
    <col min="1" max="1" width="12" style="33" customWidth="1"/>
    <col min="2" max="11" width="3.85546875" style="33" customWidth="1"/>
    <col min="12" max="12" width="12" style="33" customWidth="1"/>
    <col min="13" max="13" width="9.5703125" style="33" customWidth="1"/>
    <col min="14" max="16" width="12.85546875" style="33" customWidth="1"/>
    <col min="17" max="17" width="14" style="33" customWidth="1"/>
    <col min="18" max="27" width="9.85546875" style="33" customWidth="1"/>
    <col min="28" max="28" width="6.140625" style="33" customWidth="1"/>
    <col min="29" max="91" width="11.85546875" style="33" customWidth="1"/>
    <col min="92" max="16384" width="14.42578125" style="33"/>
  </cols>
  <sheetData>
    <row r="1" spans="1:35" ht="27" customHeight="1" thickBot="1" x14ac:dyDescent="0.3">
      <c r="A1" s="291" t="s">
        <v>18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3"/>
      <c r="N1" s="294" t="s">
        <v>19</v>
      </c>
      <c r="O1" s="296" t="s">
        <v>20</v>
      </c>
      <c r="P1" s="298" t="s">
        <v>21</v>
      </c>
      <c r="Q1" s="106" t="s">
        <v>0</v>
      </c>
      <c r="R1" s="53" t="s">
        <v>1</v>
      </c>
      <c r="S1" s="54" t="s">
        <v>2</v>
      </c>
      <c r="T1" s="54" t="s">
        <v>3</v>
      </c>
      <c r="U1" s="54" t="s">
        <v>4</v>
      </c>
      <c r="V1" s="54" t="s">
        <v>5</v>
      </c>
      <c r="W1" s="54" t="s">
        <v>6</v>
      </c>
      <c r="X1" s="54" t="s">
        <v>7</v>
      </c>
      <c r="Y1" s="54" t="s">
        <v>8</v>
      </c>
      <c r="Z1" s="54" t="s">
        <v>9</v>
      </c>
      <c r="AA1" s="55" t="s">
        <v>10</v>
      </c>
      <c r="AC1" s="96"/>
      <c r="AD1" s="97"/>
      <c r="AE1" s="97"/>
      <c r="AF1" s="97"/>
      <c r="AG1" s="97"/>
      <c r="AH1" s="97"/>
      <c r="AI1" s="98"/>
    </row>
    <row r="2" spans="1:35" ht="18.75" customHeight="1" thickBot="1" x14ac:dyDescent="0.3">
      <c r="A2" s="37" t="s">
        <v>0</v>
      </c>
      <c r="B2" s="38" t="s">
        <v>1</v>
      </c>
      <c r="C2" s="39" t="s">
        <v>2</v>
      </c>
      <c r="D2" s="39" t="s">
        <v>3</v>
      </c>
      <c r="E2" s="39" t="s">
        <v>4</v>
      </c>
      <c r="F2" s="39" t="s">
        <v>5</v>
      </c>
      <c r="G2" s="39" t="s">
        <v>6</v>
      </c>
      <c r="H2" s="39" t="s">
        <v>7</v>
      </c>
      <c r="I2" s="39" t="s">
        <v>8</v>
      </c>
      <c r="J2" s="39" t="s">
        <v>9</v>
      </c>
      <c r="K2" s="39" t="s">
        <v>10</v>
      </c>
      <c r="L2" s="39" t="s">
        <v>11</v>
      </c>
      <c r="M2" s="40" t="s">
        <v>12</v>
      </c>
      <c r="N2" s="295"/>
      <c r="O2" s="297"/>
      <c r="P2" s="299"/>
      <c r="Q2" s="107" t="s">
        <v>1</v>
      </c>
      <c r="R2" s="77">
        <v>0</v>
      </c>
      <c r="S2" s="78">
        <v>1</v>
      </c>
      <c r="T2" s="78">
        <v>1</v>
      </c>
      <c r="U2" s="78">
        <v>1</v>
      </c>
      <c r="V2" s="79">
        <v>0</v>
      </c>
      <c r="W2" s="79">
        <v>0</v>
      </c>
      <c r="X2" s="80">
        <v>0</v>
      </c>
      <c r="Y2" s="80">
        <v>0</v>
      </c>
      <c r="Z2" s="79">
        <v>0</v>
      </c>
      <c r="AA2" s="81">
        <v>0</v>
      </c>
      <c r="AB2" s="33">
        <f>SUM(R2:AA2)</f>
        <v>3</v>
      </c>
      <c r="AC2" s="99"/>
      <c r="AD2" s="100"/>
      <c r="AE2" s="100"/>
      <c r="AF2" s="100"/>
      <c r="AG2" s="100"/>
      <c r="AH2" s="100"/>
      <c r="AI2" s="101"/>
    </row>
    <row r="3" spans="1:35" ht="18.75" customHeight="1" thickBot="1" x14ac:dyDescent="0.3">
      <c r="A3" s="110" t="s">
        <v>1</v>
      </c>
      <c r="B3" s="34">
        <v>0</v>
      </c>
      <c r="C3" s="5">
        <v>1</v>
      </c>
      <c r="D3" s="5">
        <v>1</v>
      </c>
      <c r="E3" s="5">
        <v>1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7">
        <v>0</v>
      </c>
      <c r="L3" s="116">
        <f t="shared" ref="L3:L12" si="0">SUM(B3:K3)</f>
        <v>3</v>
      </c>
      <c r="M3" s="119">
        <f>L3+B13</f>
        <v>4</v>
      </c>
      <c r="N3" s="124">
        <f>B13/19</f>
        <v>5.2631578947368418E-2</v>
      </c>
      <c r="O3" s="122">
        <f>L3/19</f>
        <v>0.15789473684210525</v>
      </c>
      <c r="P3" s="120">
        <f>M3/38</f>
        <v>0.10526315789473684</v>
      </c>
      <c r="Q3" s="64" t="s">
        <v>2</v>
      </c>
      <c r="R3" s="82">
        <v>1</v>
      </c>
      <c r="S3" s="72">
        <v>0</v>
      </c>
      <c r="T3" s="73">
        <v>1</v>
      </c>
      <c r="U3" s="74">
        <v>0</v>
      </c>
      <c r="V3" s="75">
        <v>0</v>
      </c>
      <c r="W3" s="74">
        <v>0</v>
      </c>
      <c r="X3" s="74">
        <v>0</v>
      </c>
      <c r="Y3" s="74">
        <v>0</v>
      </c>
      <c r="Z3" s="73">
        <v>1</v>
      </c>
      <c r="AA3" s="83">
        <v>0</v>
      </c>
      <c r="AB3" s="33">
        <f t="shared" ref="AB3:AB11" si="1">SUM(R3:AA3)</f>
        <v>3</v>
      </c>
      <c r="AC3" s="99"/>
      <c r="AD3" s="100"/>
      <c r="AE3" s="100"/>
      <c r="AF3" s="100"/>
      <c r="AG3" s="100"/>
      <c r="AH3" s="100"/>
      <c r="AI3" s="101"/>
    </row>
    <row r="4" spans="1:35" ht="18.75" customHeight="1" thickBot="1" x14ac:dyDescent="0.3">
      <c r="A4" s="111" t="s">
        <v>2</v>
      </c>
      <c r="B4" s="11">
        <v>0</v>
      </c>
      <c r="C4" s="35">
        <v>0</v>
      </c>
      <c r="D4" s="13">
        <v>1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3">
        <v>1</v>
      </c>
      <c r="K4" s="14">
        <v>0</v>
      </c>
      <c r="L4" s="117">
        <f t="shared" si="0"/>
        <v>2</v>
      </c>
      <c r="M4" s="119">
        <f>L4+C13</f>
        <v>4</v>
      </c>
      <c r="N4" s="125">
        <f>C13/19</f>
        <v>0.10526315789473684</v>
      </c>
      <c r="O4" s="123">
        <f t="shared" ref="O4:O12" si="2">L4/19</f>
        <v>0.10526315789473684</v>
      </c>
      <c r="P4" s="121">
        <f t="shared" ref="P4:P12" si="3">M4/38</f>
        <v>0.10526315789473684</v>
      </c>
      <c r="Q4" s="64" t="s">
        <v>3</v>
      </c>
      <c r="R4" s="82">
        <v>1</v>
      </c>
      <c r="S4" s="73">
        <v>1</v>
      </c>
      <c r="T4" s="72">
        <v>0</v>
      </c>
      <c r="U4" s="74">
        <v>0</v>
      </c>
      <c r="V4" s="75">
        <v>0</v>
      </c>
      <c r="W4" s="73">
        <v>1</v>
      </c>
      <c r="X4" s="74">
        <v>0</v>
      </c>
      <c r="Y4" s="74">
        <v>0</v>
      </c>
      <c r="Z4" s="74">
        <v>0</v>
      </c>
      <c r="AA4" s="84">
        <v>0</v>
      </c>
      <c r="AB4" s="33">
        <f t="shared" si="1"/>
        <v>3</v>
      </c>
      <c r="AC4" s="99"/>
      <c r="AD4" s="100"/>
      <c r="AE4" s="100"/>
      <c r="AF4" s="100"/>
      <c r="AG4" s="100"/>
      <c r="AH4" s="100"/>
      <c r="AI4" s="101"/>
    </row>
    <row r="5" spans="1:35" ht="18.75" customHeight="1" thickBot="1" x14ac:dyDescent="0.3">
      <c r="A5" s="111" t="s">
        <v>3</v>
      </c>
      <c r="B5" s="11">
        <v>0</v>
      </c>
      <c r="C5" s="13">
        <v>1</v>
      </c>
      <c r="D5" s="35">
        <v>0</v>
      </c>
      <c r="E5" s="12">
        <v>0</v>
      </c>
      <c r="F5" s="12">
        <v>0</v>
      </c>
      <c r="G5" s="13">
        <v>1</v>
      </c>
      <c r="H5" s="12">
        <v>0</v>
      </c>
      <c r="I5" s="12">
        <v>0</v>
      </c>
      <c r="J5" s="12">
        <v>0</v>
      </c>
      <c r="K5" s="14">
        <v>0</v>
      </c>
      <c r="L5" s="117">
        <f t="shared" si="0"/>
        <v>2</v>
      </c>
      <c r="M5" s="119">
        <f>L5+D13</f>
        <v>4</v>
      </c>
      <c r="N5" s="125">
        <f>D13/19</f>
        <v>0.10526315789473684</v>
      </c>
      <c r="O5" s="123">
        <f t="shared" si="2"/>
        <v>0.10526315789473684</v>
      </c>
      <c r="P5" s="121">
        <f t="shared" si="3"/>
        <v>0.10526315789473684</v>
      </c>
      <c r="Q5" s="64" t="s">
        <v>4</v>
      </c>
      <c r="R5" s="85">
        <v>1</v>
      </c>
      <c r="S5" s="74">
        <v>0</v>
      </c>
      <c r="T5" s="74">
        <v>0</v>
      </c>
      <c r="U5" s="72">
        <v>0</v>
      </c>
      <c r="V5" s="76">
        <v>1</v>
      </c>
      <c r="W5" s="75">
        <v>0</v>
      </c>
      <c r="X5" s="75">
        <v>0</v>
      </c>
      <c r="Y5" s="75">
        <v>0</v>
      </c>
      <c r="Z5" s="74">
        <v>0</v>
      </c>
      <c r="AA5" s="86">
        <v>1</v>
      </c>
      <c r="AB5" s="33">
        <f t="shared" si="1"/>
        <v>3</v>
      </c>
      <c r="AC5" s="99"/>
      <c r="AD5" s="100"/>
      <c r="AE5" s="100"/>
      <c r="AF5" s="100"/>
      <c r="AG5" s="100"/>
      <c r="AH5" s="100"/>
      <c r="AI5" s="101"/>
    </row>
    <row r="6" spans="1:35" ht="18.75" customHeight="1" thickBot="1" x14ac:dyDescent="0.3">
      <c r="A6" s="111" t="s">
        <v>4</v>
      </c>
      <c r="B6" s="16">
        <v>1</v>
      </c>
      <c r="C6" s="12">
        <v>0</v>
      </c>
      <c r="D6" s="12">
        <v>0</v>
      </c>
      <c r="E6" s="35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7">
        <v>1</v>
      </c>
      <c r="L6" s="117">
        <f t="shared" si="0"/>
        <v>2</v>
      </c>
      <c r="M6" s="119">
        <f>L6+E13</f>
        <v>4</v>
      </c>
      <c r="N6" s="125">
        <f>E13/19</f>
        <v>0.10526315789473684</v>
      </c>
      <c r="O6" s="123">
        <f t="shared" si="2"/>
        <v>0.10526315789473684</v>
      </c>
      <c r="P6" s="121">
        <f t="shared" si="3"/>
        <v>0.10526315789473684</v>
      </c>
      <c r="Q6" s="64" t="s">
        <v>5</v>
      </c>
      <c r="R6" s="87">
        <v>0</v>
      </c>
      <c r="S6" s="75">
        <v>0</v>
      </c>
      <c r="T6" s="75">
        <v>0</v>
      </c>
      <c r="U6" s="73">
        <v>1</v>
      </c>
      <c r="V6" s="72">
        <v>0</v>
      </c>
      <c r="W6" s="75">
        <v>0</v>
      </c>
      <c r="X6" s="75">
        <v>0</v>
      </c>
      <c r="Y6" s="75">
        <v>0</v>
      </c>
      <c r="Z6" s="74">
        <v>0</v>
      </c>
      <c r="AA6" s="88">
        <v>1</v>
      </c>
      <c r="AB6" s="33">
        <f t="shared" si="1"/>
        <v>2</v>
      </c>
      <c r="AC6" s="99"/>
      <c r="AD6" s="100"/>
      <c r="AE6" s="100"/>
      <c r="AF6" s="100"/>
      <c r="AG6" s="100"/>
      <c r="AH6" s="100"/>
      <c r="AI6" s="101"/>
    </row>
    <row r="7" spans="1:35" ht="18.75" customHeight="1" thickBot="1" x14ac:dyDescent="0.3">
      <c r="A7" s="111" t="s">
        <v>5</v>
      </c>
      <c r="B7" s="11">
        <v>0</v>
      </c>
      <c r="C7" s="12">
        <v>0</v>
      </c>
      <c r="D7" s="12">
        <v>0</v>
      </c>
      <c r="E7" s="13">
        <v>1</v>
      </c>
      <c r="F7" s="35">
        <v>0</v>
      </c>
      <c r="G7" s="12">
        <v>0</v>
      </c>
      <c r="H7" s="12">
        <v>0</v>
      </c>
      <c r="I7" s="12">
        <v>0</v>
      </c>
      <c r="J7" s="12">
        <v>0</v>
      </c>
      <c r="K7" s="14">
        <v>0</v>
      </c>
      <c r="L7" s="117">
        <f t="shared" si="0"/>
        <v>1</v>
      </c>
      <c r="M7" s="119">
        <f>L7+F13</f>
        <v>2</v>
      </c>
      <c r="N7" s="125">
        <f>F13/19</f>
        <v>5.2631578947368418E-2</v>
      </c>
      <c r="O7" s="123">
        <f t="shared" si="2"/>
        <v>5.2631578947368418E-2</v>
      </c>
      <c r="P7" s="121">
        <f t="shared" si="3"/>
        <v>5.2631578947368418E-2</v>
      </c>
      <c r="Q7" s="64" t="s">
        <v>6</v>
      </c>
      <c r="R7" s="87">
        <v>0</v>
      </c>
      <c r="S7" s="74">
        <v>0</v>
      </c>
      <c r="T7" s="76">
        <v>1</v>
      </c>
      <c r="U7" s="75">
        <v>0</v>
      </c>
      <c r="V7" s="75">
        <v>0</v>
      </c>
      <c r="W7" s="72">
        <v>0</v>
      </c>
      <c r="X7" s="73">
        <v>1</v>
      </c>
      <c r="Y7" s="76">
        <v>1</v>
      </c>
      <c r="Z7" s="74">
        <v>0</v>
      </c>
      <c r="AA7" s="84">
        <v>0</v>
      </c>
      <c r="AB7" s="33">
        <f t="shared" si="1"/>
        <v>3</v>
      </c>
      <c r="AC7" s="99"/>
      <c r="AD7" s="100"/>
      <c r="AE7" s="100"/>
      <c r="AF7" s="100"/>
      <c r="AG7" s="100"/>
      <c r="AH7" s="100"/>
      <c r="AI7" s="101"/>
    </row>
    <row r="8" spans="1:35" ht="18.75" customHeight="1" thickBot="1" x14ac:dyDescent="0.3">
      <c r="A8" s="111" t="s">
        <v>6</v>
      </c>
      <c r="B8" s="11">
        <v>0</v>
      </c>
      <c r="C8" s="12">
        <v>0</v>
      </c>
      <c r="D8" s="12">
        <v>0</v>
      </c>
      <c r="E8" s="12">
        <v>0</v>
      </c>
      <c r="F8" s="12">
        <v>0</v>
      </c>
      <c r="G8" s="35">
        <v>0</v>
      </c>
      <c r="H8" s="13">
        <v>1</v>
      </c>
      <c r="I8" s="12">
        <v>0</v>
      </c>
      <c r="J8" s="12">
        <v>0</v>
      </c>
      <c r="K8" s="14">
        <v>0</v>
      </c>
      <c r="L8" s="117">
        <f t="shared" si="0"/>
        <v>1</v>
      </c>
      <c r="M8" s="119">
        <f>L8+G13</f>
        <v>4</v>
      </c>
      <c r="N8" s="125">
        <f>G13/19</f>
        <v>0.15789473684210525</v>
      </c>
      <c r="O8" s="123">
        <f t="shared" si="2"/>
        <v>5.2631578947368418E-2</v>
      </c>
      <c r="P8" s="121">
        <f t="shared" si="3"/>
        <v>0.10526315789473684</v>
      </c>
      <c r="Q8" s="64" t="s">
        <v>7</v>
      </c>
      <c r="R8" s="89">
        <v>0</v>
      </c>
      <c r="S8" s="74">
        <v>0</v>
      </c>
      <c r="T8" s="75">
        <v>0</v>
      </c>
      <c r="U8" s="75">
        <v>0</v>
      </c>
      <c r="V8" s="75">
        <v>0</v>
      </c>
      <c r="W8" s="73">
        <v>1</v>
      </c>
      <c r="X8" s="72">
        <v>0</v>
      </c>
      <c r="Y8" s="73">
        <v>1</v>
      </c>
      <c r="Z8" s="73">
        <v>1</v>
      </c>
      <c r="AA8" s="83">
        <v>0</v>
      </c>
      <c r="AB8" s="33">
        <f t="shared" si="1"/>
        <v>3</v>
      </c>
      <c r="AC8" s="99"/>
      <c r="AD8" s="100"/>
      <c r="AE8" s="100"/>
      <c r="AF8" s="100"/>
      <c r="AG8" s="100"/>
      <c r="AH8" s="100"/>
      <c r="AI8" s="101"/>
    </row>
    <row r="9" spans="1:35" ht="18.75" customHeight="1" thickBot="1" x14ac:dyDescent="0.3">
      <c r="A9" s="111" t="s">
        <v>7</v>
      </c>
      <c r="B9" s="11">
        <v>0</v>
      </c>
      <c r="C9" s="12">
        <v>0</v>
      </c>
      <c r="D9" s="12">
        <v>0</v>
      </c>
      <c r="E9" s="12">
        <v>0</v>
      </c>
      <c r="F9" s="12">
        <v>0</v>
      </c>
      <c r="G9" s="13">
        <v>1</v>
      </c>
      <c r="H9" s="35">
        <v>0</v>
      </c>
      <c r="I9" s="13">
        <v>1</v>
      </c>
      <c r="J9" s="13">
        <v>1</v>
      </c>
      <c r="K9" s="14">
        <v>0</v>
      </c>
      <c r="L9" s="117">
        <f t="shared" si="0"/>
        <v>3</v>
      </c>
      <c r="M9" s="119">
        <f>L9+H13</f>
        <v>4</v>
      </c>
      <c r="N9" s="125">
        <f>H13/19</f>
        <v>5.2631578947368418E-2</v>
      </c>
      <c r="O9" s="123">
        <f t="shared" si="2"/>
        <v>0.15789473684210525</v>
      </c>
      <c r="P9" s="121">
        <f t="shared" si="3"/>
        <v>0.10526315789473684</v>
      </c>
      <c r="Q9" s="64" t="s">
        <v>8</v>
      </c>
      <c r="R9" s="89">
        <v>0</v>
      </c>
      <c r="S9" s="74">
        <v>0</v>
      </c>
      <c r="T9" s="74">
        <v>0</v>
      </c>
      <c r="U9" s="75">
        <v>0</v>
      </c>
      <c r="V9" s="75">
        <v>0</v>
      </c>
      <c r="W9" s="73">
        <v>1</v>
      </c>
      <c r="X9" s="76">
        <v>1</v>
      </c>
      <c r="Y9" s="72">
        <v>0</v>
      </c>
      <c r="Z9" s="76">
        <v>1</v>
      </c>
      <c r="AA9" s="83">
        <v>0</v>
      </c>
      <c r="AB9" s="33">
        <f t="shared" si="1"/>
        <v>3</v>
      </c>
      <c r="AC9" s="99"/>
      <c r="AD9" s="100"/>
      <c r="AE9" s="100"/>
      <c r="AF9" s="100"/>
      <c r="AG9" s="100"/>
      <c r="AH9" s="100"/>
      <c r="AI9" s="101"/>
    </row>
    <row r="10" spans="1:35" ht="18.75" customHeight="1" thickBot="1" x14ac:dyDescent="0.3">
      <c r="A10" s="111" t="s">
        <v>8</v>
      </c>
      <c r="B10" s="11">
        <v>0</v>
      </c>
      <c r="C10" s="12">
        <v>0</v>
      </c>
      <c r="D10" s="12">
        <v>0</v>
      </c>
      <c r="E10" s="12">
        <v>0</v>
      </c>
      <c r="F10" s="12">
        <v>0</v>
      </c>
      <c r="G10" s="13">
        <v>1</v>
      </c>
      <c r="H10" s="12">
        <v>0</v>
      </c>
      <c r="I10" s="35">
        <v>0</v>
      </c>
      <c r="J10" s="12">
        <v>0</v>
      </c>
      <c r="K10" s="14">
        <v>0</v>
      </c>
      <c r="L10" s="117">
        <f t="shared" si="0"/>
        <v>1</v>
      </c>
      <c r="M10" s="119">
        <f>L10+I13</f>
        <v>3</v>
      </c>
      <c r="N10" s="125">
        <f>I13/19</f>
        <v>0.10526315789473684</v>
      </c>
      <c r="O10" s="123">
        <f t="shared" si="2"/>
        <v>5.2631578947368418E-2</v>
      </c>
      <c r="P10" s="121">
        <f t="shared" si="3"/>
        <v>7.8947368421052627E-2</v>
      </c>
      <c r="Q10" s="64" t="s">
        <v>9</v>
      </c>
      <c r="R10" s="87">
        <v>0</v>
      </c>
      <c r="S10" s="76">
        <v>1</v>
      </c>
      <c r="T10" s="74">
        <v>0</v>
      </c>
      <c r="U10" s="74">
        <v>0</v>
      </c>
      <c r="V10" s="74">
        <v>0</v>
      </c>
      <c r="W10" s="74">
        <v>0</v>
      </c>
      <c r="X10" s="76">
        <v>1</v>
      </c>
      <c r="Y10" s="73">
        <v>1</v>
      </c>
      <c r="Z10" s="72">
        <v>0</v>
      </c>
      <c r="AA10" s="86">
        <v>1</v>
      </c>
      <c r="AB10" s="33">
        <f t="shared" si="1"/>
        <v>4</v>
      </c>
      <c r="AC10" s="99"/>
      <c r="AD10" s="100"/>
      <c r="AE10" s="100"/>
      <c r="AF10" s="100"/>
      <c r="AG10" s="100"/>
      <c r="AH10" s="100"/>
      <c r="AI10" s="101"/>
    </row>
    <row r="11" spans="1:35" ht="18.75" customHeight="1" thickBot="1" x14ac:dyDescent="0.3">
      <c r="A11" s="111" t="s">
        <v>9</v>
      </c>
      <c r="B11" s="11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3">
        <v>1</v>
      </c>
      <c r="J11" s="35">
        <v>0</v>
      </c>
      <c r="K11" s="17">
        <v>1</v>
      </c>
      <c r="L11" s="117">
        <f t="shared" si="0"/>
        <v>2</v>
      </c>
      <c r="M11" s="119">
        <f>L11+J13</f>
        <v>5</v>
      </c>
      <c r="N11" s="125">
        <f>J13/19</f>
        <v>0.15789473684210525</v>
      </c>
      <c r="O11" s="123">
        <f t="shared" si="2"/>
        <v>0.10526315789473684</v>
      </c>
      <c r="P11" s="121">
        <f t="shared" si="3"/>
        <v>0.13157894736842105</v>
      </c>
      <c r="Q11" s="108" t="s">
        <v>10</v>
      </c>
      <c r="R11" s="90">
        <v>0</v>
      </c>
      <c r="S11" s="91">
        <v>0</v>
      </c>
      <c r="T11" s="92">
        <v>0</v>
      </c>
      <c r="U11" s="93">
        <v>1</v>
      </c>
      <c r="V11" s="94">
        <v>1</v>
      </c>
      <c r="W11" s="92">
        <v>0</v>
      </c>
      <c r="X11" s="91">
        <v>0</v>
      </c>
      <c r="Y11" s="91">
        <v>0</v>
      </c>
      <c r="Z11" s="94">
        <v>1</v>
      </c>
      <c r="AA11" s="95">
        <v>0</v>
      </c>
      <c r="AB11" s="33">
        <f t="shared" si="1"/>
        <v>3</v>
      </c>
      <c r="AC11" s="99"/>
      <c r="AD11" s="100"/>
      <c r="AE11" s="100"/>
      <c r="AF11" s="100"/>
      <c r="AG11" s="100"/>
      <c r="AH11" s="100"/>
      <c r="AI11" s="101"/>
    </row>
    <row r="12" spans="1:35" ht="18.75" customHeight="1" thickBot="1" x14ac:dyDescent="0.3">
      <c r="A12" s="112" t="s">
        <v>10</v>
      </c>
      <c r="B12" s="19">
        <v>0</v>
      </c>
      <c r="C12" s="20">
        <v>0</v>
      </c>
      <c r="D12" s="12">
        <v>0</v>
      </c>
      <c r="E12" s="12">
        <v>0</v>
      </c>
      <c r="F12" s="13">
        <v>1</v>
      </c>
      <c r="G12" s="20">
        <v>0</v>
      </c>
      <c r="H12" s="20">
        <v>0</v>
      </c>
      <c r="I12" s="20">
        <v>0</v>
      </c>
      <c r="J12" s="21">
        <v>1</v>
      </c>
      <c r="K12" s="36">
        <v>0</v>
      </c>
      <c r="L12" s="118">
        <f t="shared" si="0"/>
        <v>2</v>
      </c>
      <c r="M12" s="119">
        <f>L12+K13</f>
        <v>4</v>
      </c>
      <c r="N12" s="126">
        <f>K13/19</f>
        <v>0.10526315789473684</v>
      </c>
      <c r="O12" s="127">
        <f t="shared" si="2"/>
        <v>0.10526315789473684</v>
      </c>
      <c r="P12" s="128">
        <f t="shared" si="3"/>
        <v>0.10526315789473684</v>
      </c>
      <c r="Q12" s="109" t="s">
        <v>12</v>
      </c>
      <c r="R12" s="71">
        <f>SUM(R2:R11)</f>
        <v>3</v>
      </c>
      <c r="S12" s="71">
        <f t="shared" ref="S12:AA12" si="4">SUM(S2:S11)</f>
        <v>3</v>
      </c>
      <c r="T12" s="71">
        <f t="shared" si="4"/>
        <v>3</v>
      </c>
      <c r="U12" s="71">
        <f t="shared" si="4"/>
        <v>3</v>
      </c>
      <c r="V12" s="71">
        <f t="shared" si="4"/>
        <v>2</v>
      </c>
      <c r="W12" s="71">
        <f t="shared" si="4"/>
        <v>3</v>
      </c>
      <c r="X12" s="71">
        <f t="shared" si="4"/>
        <v>3</v>
      </c>
      <c r="Y12" s="71">
        <f t="shared" si="4"/>
        <v>3</v>
      </c>
      <c r="Z12" s="71">
        <f t="shared" si="4"/>
        <v>4</v>
      </c>
      <c r="AA12" s="71">
        <f t="shared" si="4"/>
        <v>3</v>
      </c>
      <c r="AC12" s="99"/>
      <c r="AD12" s="100"/>
      <c r="AE12" s="100"/>
      <c r="AF12" s="100"/>
      <c r="AG12" s="100"/>
      <c r="AH12" s="100"/>
      <c r="AI12" s="101"/>
    </row>
    <row r="13" spans="1:35" ht="27" customHeight="1" thickBot="1" x14ac:dyDescent="0.3">
      <c r="A13" s="113" t="s">
        <v>13</v>
      </c>
      <c r="B13" s="114">
        <f t="shared" ref="B13:K13" si="5">SUM(B3:B12)</f>
        <v>1</v>
      </c>
      <c r="C13" s="115">
        <f t="shared" si="5"/>
        <v>2</v>
      </c>
      <c r="D13" s="143">
        <f t="shared" si="5"/>
        <v>2</v>
      </c>
      <c r="E13" s="143">
        <f t="shared" si="5"/>
        <v>2</v>
      </c>
      <c r="F13" s="143">
        <f t="shared" si="5"/>
        <v>1</v>
      </c>
      <c r="G13" s="143">
        <f t="shared" si="5"/>
        <v>3</v>
      </c>
      <c r="H13" s="143">
        <f t="shared" si="5"/>
        <v>1</v>
      </c>
      <c r="I13" s="143">
        <f t="shared" si="5"/>
        <v>2</v>
      </c>
      <c r="J13" s="143">
        <f t="shared" si="5"/>
        <v>3</v>
      </c>
      <c r="K13" s="144">
        <f t="shared" si="5"/>
        <v>2</v>
      </c>
      <c r="L13" s="145">
        <v>19</v>
      </c>
      <c r="M13" s="146">
        <f t="shared" ref="M13" si="6">SUM(M3:M12)</f>
        <v>38</v>
      </c>
      <c r="N13" s="129">
        <f>SUM(N3:N12)</f>
        <v>0.99999999999999989</v>
      </c>
      <c r="O13" s="130">
        <f>SUM(O3:O12)</f>
        <v>1</v>
      </c>
      <c r="P13" s="131">
        <f>SUM(P3:P12)</f>
        <v>1</v>
      </c>
      <c r="Q13" s="279" t="s">
        <v>17</v>
      </c>
      <c r="R13" s="300">
        <f>SUM(R12:AA12)</f>
        <v>30</v>
      </c>
      <c r="S13" s="301"/>
      <c r="T13" s="301"/>
      <c r="U13" s="301"/>
      <c r="V13" s="301"/>
      <c r="W13" s="301"/>
      <c r="X13" s="301"/>
      <c r="Y13" s="301"/>
      <c r="Z13" s="301"/>
      <c r="AA13" s="302"/>
      <c r="AC13" s="99"/>
      <c r="AD13" s="100"/>
      <c r="AE13" s="100"/>
      <c r="AF13" s="100"/>
      <c r="AG13" s="100"/>
      <c r="AH13" s="100"/>
      <c r="AI13" s="101"/>
    </row>
    <row r="14" spans="1:35" ht="27" customHeight="1" thickBot="1" x14ac:dyDescent="0.3">
      <c r="A14" s="29"/>
      <c r="B14" s="30"/>
      <c r="C14" s="30"/>
      <c r="D14" s="147"/>
      <c r="E14" s="148"/>
      <c r="F14" s="148"/>
      <c r="G14" s="148"/>
      <c r="H14" s="148"/>
      <c r="I14" s="148"/>
      <c r="J14" s="148"/>
      <c r="K14" s="148"/>
      <c r="L14" s="148"/>
      <c r="M14" s="149"/>
      <c r="N14" s="30"/>
      <c r="O14" s="30"/>
      <c r="P14" s="30"/>
      <c r="Q14" s="280"/>
      <c r="R14" s="132">
        <f>(R12/R13)</f>
        <v>0.1</v>
      </c>
      <c r="S14" s="133">
        <f>(S12/R13)</f>
        <v>0.1</v>
      </c>
      <c r="T14" s="133">
        <f>(T12/R13)</f>
        <v>0.1</v>
      </c>
      <c r="U14" s="133">
        <f>(U12/R13)</f>
        <v>0.1</v>
      </c>
      <c r="V14" s="133">
        <f>(V12/R13)</f>
        <v>6.6666666666666666E-2</v>
      </c>
      <c r="W14" s="133">
        <f>(W12/R13)</f>
        <v>0.1</v>
      </c>
      <c r="X14" s="133">
        <f>(X12/R13)</f>
        <v>0.1</v>
      </c>
      <c r="Y14" s="133">
        <f>(Y12/R13)</f>
        <v>0.1</v>
      </c>
      <c r="Z14" s="133">
        <f>(Z12/R13)</f>
        <v>0.13333333333333333</v>
      </c>
      <c r="AA14" s="134">
        <f>(AA12/R13)</f>
        <v>0.1</v>
      </c>
      <c r="AC14" s="99"/>
      <c r="AD14" s="100"/>
      <c r="AE14" s="100"/>
      <c r="AF14" s="100"/>
      <c r="AG14" s="100"/>
      <c r="AH14" s="100"/>
      <c r="AI14" s="101"/>
    </row>
    <row r="15" spans="1:35" ht="27" customHeight="1" thickBot="1" x14ac:dyDescent="0.3">
      <c r="A15" s="29"/>
      <c r="B15" s="30"/>
      <c r="C15" s="30"/>
      <c r="D15" s="150"/>
      <c r="E15" s="30"/>
      <c r="F15" s="30"/>
      <c r="G15" s="30"/>
      <c r="H15" s="30"/>
      <c r="I15" s="30"/>
      <c r="J15" s="30"/>
      <c r="K15" s="30"/>
      <c r="L15" s="30"/>
      <c r="M15" s="151"/>
      <c r="N15" s="30"/>
      <c r="O15" s="30"/>
      <c r="P15" s="30"/>
      <c r="Q15" s="281"/>
      <c r="R15" s="276">
        <f>SUM(R14:AA14)</f>
        <v>0.99999999999999989</v>
      </c>
      <c r="S15" s="277"/>
      <c r="T15" s="277"/>
      <c r="U15" s="277"/>
      <c r="V15" s="277"/>
      <c r="W15" s="277"/>
      <c r="X15" s="277"/>
      <c r="Y15" s="277"/>
      <c r="Z15" s="277"/>
      <c r="AA15" s="278"/>
      <c r="AC15" s="99"/>
      <c r="AD15" s="100"/>
      <c r="AE15" s="100"/>
      <c r="AF15" s="100"/>
      <c r="AG15" s="100"/>
      <c r="AH15" s="100"/>
      <c r="AI15" s="101"/>
    </row>
    <row r="16" spans="1:35" ht="18.75" customHeight="1" thickBot="1" x14ac:dyDescent="0.3">
      <c r="A16" s="29"/>
      <c r="B16" s="30"/>
      <c r="C16" s="30"/>
      <c r="D16" s="150"/>
      <c r="E16" s="30"/>
      <c r="F16" s="30"/>
      <c r="G16" s="30"/>
      <c r="H16" s="30"/>
      <c r="I16" s="30"/>
      <c r="J16" s="30"/>
      <c r="K16" s="30"/>
      <c r="L16" s="30"/>
      <c r="M16" s="151"/>
      <c r="N16" s="30"/>
      <c r="O16" s="30"/>
      <c r="P16" s="30"/>
      <c r="AA16" s="102"/>
      <c r="AC16" s="99"/>
      <c r="AD16" s="100"/>
      <c r="AE16" s="100"/>
      <c r="AF16" s="100"/>
      <c r="AG16" s="100"/>
      <c r="AH16" s="100"/>
      <c r="AI16" s="101"/>
    </row>
    <row r="17" spans="1:35" ht="18.75" customHeight="1" x14ac:dyDescent="0.25">
      <c r="A17" s="29"/>
      <c r="B17" s="30"/>
      <c r="C17" s="30"/>
      <c r="D17" s="150"/>
      <c r="E17" s="30"/>
      <c r="F17" s="30"/>
      <c r="G17" s="30"/>
      <c r="H17" s="30"/>
      <c r="I17" s="30"/>
      <c r="J17" s="30"/>
      <c r="K17" s="30"/>
      <c r="L17" s="30"/>
      <c r="M17" s="151"/>
      <c r="N17" s="30"/>
      <c r="O17" s="30"/>
      <c r="P17" s="30"/>
      <c r="Q17" s="282"/>
      <c r="R17" s="283"/>
      <c r="S17" s="283"/>
      <c r="T17" s="283"/>
      <c r="U17" s="283"/>
      <c r="V17" s="283"/>
      <c r="W17" s="283"/>
      <c r="X17" s="284"/>
      <c r="AA17" s="102"/>
      <c r="AC17" s="99"/>
      <c r="AD17" s="100"/>
      <c r="AE17" s="100"/>
      <c r="AF17" s="100"/>
      <c r="AG17" s="100"/>
      <c r="AH17" s="100"/>
      <c r="AI17" s="101"/>
    </row>
    <row r="18" spans="1:35" ht="18.75" customHeight="1" x14ac:dyDescent="0.25">
      <c r="A18" s="29"/>
      <c r="B18" s="30"/>
      <c r="C18" s="30"/>
      <c r="D18" s="150"/>
      <c r="E18" s="30"/>
      <c r="F18" s="30"/>
      <c r="G18" s="30"/>
      <c r="H18" s="30"/>
      <c r="I18" s="30"/>
      <c r="J18" s="30"/>
      <c r="K18" s="30"/>
      <c r="L18" s="30"/>
      <c r="M18" s="151"/>
      <c r="N18" s="30"/>
      <c r="O18" s="30"/>
      <c r="P18" s="30"/>
      <c r="Q18" s="285"/>
      <c r="R18" s="286"/>
      <c r="S18" s="286"/>
      <c r="T18" s="286"/>
      <c r="U18" s="286"/>
      <c r="V18" s="286"/>
      <c r="W18" s="286"/>
      <c r="X18" s="287"/>
      <c r="AA18" s="102"/>
      <c r="AC18" s="99"/>
      <c r="AD18" s="100"/>
      <c r="AE18" s="100"/>
      <c r="AF18" s="100"/>
      <c r="AG18" s="100"/>
      <c r="AH18" s="100"/>
      <c r="AI18" s="101"/>
    </row>
    <row r="19" spans="1:35" ht="18.75" customHeight="1" thickBot="1" x14ac:dyDescent="0.3">
      <c r="A19" s="29"/>
      <c r="B19" s="30"/>
      <c r="C19" s="30"/>
      <c r="D19" s="150"/>
      <c r="E19" s="30"/>
      <c r="F19" s="30"/>
      <c r="G19" s="30"/>
      <c r="H19" s="30"/>
      <c r="I19" s="30"/>
      <c r="J19" s="30"/>
      <c r="K19" s="30"/>
      <c r="L19" s="30"/>
      <c r="M19" s="151"/>
      <c r="N19" s="30"/>
      <c r="O19" s="30"/>
      <c r="P19" s="30"/>
      <c r="Q19" s="285"/>
      <c r="R19" s="286"/>
      <c r="S19" s="286"/>
      <c r="T19" s="286"/>
      <c r="U19" s="286"/>
      <c r="V19" s="286"/>
      <c r="W19" s="286"/>
      <c r="X19" s="287"/>
      <c r="AC19" s="103"/>
      <c r="AD19" s="104"/>
      <c r="AE19" s="104"/>
      <c r="AF19" s="104"/>
      <c r="AG19" s="104"/>
      <c r="AH19" s="104"/>
      <c r="AI19" s="105"/>
    </row>
    <row r="20" spans="1:35" ht="18.75" customHeight="1" x14ac:dyDescent="0.25">
      <c r="A20" s="29"/>
      <c r="B20" s="30"/>
      <c r="C20" s="30"/>
      <c r="D20" s="150"/>
      <c r="E20" s="30"/>
      <c r="F20" s="30"/>
      <c r="G20" s="30"/>
      <c r="H20" s="30"/>
      <c r="I20" s="30"/>
      <c r="J20" s="30"/>
      <c r="K20" s="30"/>
      <c r="L20" s="30"/>
      <c r="M20" s="151"/>
      <c r="N20" s="30"/>
      <c r="O20" s="30"/>
      <c r="P20" s="30"/>
      <c r="Q20" s="285"/>
      <c r="R20" s="286"/>
      <c r="S20" s="286"/>
      <c r="T20" s="286"/>
      <c r="U20" s="286"/>
      <c r="V20" s="286"/>
      <c r="W20" s="286"/>
      <c r="X20" s="287"/>
    </row>
    <row r="21" spans="1:35" ht="18.75" customHeight="1" x14ac:dyDescent="0.25">
      <c r="A21" s="29"/>
      <c r="B21" s="30"/>
      <c r="C21" s="30"/>
      <c r="D21" s="150"/>
      <c r="E21" s="30"/>
      <c r="F21" s="30"/>
      <c r="G21" s="30"/>
      <c r="H21" s="30"/>
      <c r="I21" s="30"/>
      <c r="J21" s="30"/>
      <c r="K21" s="30"/>
      <c r="L21" s="30"/>
      <c r="M21" s="151"/>
      <c r="N21" s="30"/>
      <c r="O21" s="30"/>
      <c r="P21" s="30"/>
      <c r="Q21" s="285"/>
      <c r="R21" s="286"/>
      <c r="S21" s="286"/>
      <c r="T21" s="286"/>
      <c r="U21" s="286"/>
      <c r="V21" s="286"/>
      <c r="W21" s="286"/>
      <c r="X21" s="287"/>
    </row>
    <row r="22" spans="1:35" ht="18.75" customHeight="1" x14ac:dyDescent="0.25">
      <c r="A22" s="29"/>
      <c r="B22" s="30"/>
      <c r="C22" s="30"/>
      <c r="D22" s="150"/>
      <c r="E22" s="30"/>
      <c r="F22" s="30"/>
      <c r="G22" s="30"/>
      <c r="H22" s="30"/>
      <c r="I22" s="30"/>
      <c r="J22" s="30"/>
      <c r="K22" s="30"/>
      <c r="L22" s="30"/>
      <c r="M22" s="151"/>
      <c r="N22" s="30"/>
      <c r="O22" s="30"/>
      <c r="P22" s="30"/>
      <c r="Q22" s="285"/>
      <c r="R22" s="286"/>
      <c r="S22" s="286"/>
      <c r="T22" s="286"/>
      <c r="U22" s="286"/>
      <c r="V22" s="286"/>
      <c r="W22" s="286"/>
      <c r="X22" s="287"/>
    </row>
    <row r="23" spans="1:35" ht="18.75" customHeight="1" x14ac:dyDescent="0.25">
      <c r="A23" s="29"/>
      <c r="B23" s="30"/>
      <c r="C23" s="30"/>
      <c r="D23" s="150"/>
      <c r="E23" s="30"/>
      <c r="F23" s="30"/>
      <c r="G23" s="30"/>
      <c r="H23" s="30"/>
      <c r="I23" s="30"/>
      <c r="J23" s="30"/>
      <c r="K23" s="30"/>
      <c r="L23" s="30"/>
      <c r="M23" s="151"/>
      <c r="N23" s="30"/>
      <c r="O23" s="30"/>
      <c r="P23" s="30"/>
      <c r="Q23" s="285"/>
      <c r="R23" s="286"/>
      <c r="S23" s="286"/>
      <c r="T23" s="286"/>
      <c r="U23" s="286"/>
      <c r="V23" s="286"/>
      <c r="W23" s="286"/>
      <c r="X23" s="287"/>
    </row>
    <row r="24" spans="1:35" ht="18.75" customHeight="1" thickBot="1" x14ac:dyDescent="0.3">
      <c r="A24" s="29"/>
      <c r="B24" s="30"/>
      <c r="C24" s="30"/>
      <c r="D24" s="152"/>
      <c r="E24" s="153"/>
      <c r="F24" s="153"/>
      <c r="G24" s="153"/>
      <c r="H24" s="153"/>
      <c r="I24" s="153"/>
      <c r="J24" s="153"/>
      <c r="K24" s="153"/>
      <c r="L24" s="153"/>
      <c r="M24" s="154"/>
      <c r="N24" s="30"/>
      <c r="O24" s="30"/>
      <c r="P24" s="30"/>
      <c r="Q24" s="285"/>
      <c r="R24" s="286"/>
      <c r="S24" s="286"/>
      <c r="T24" s="286"/>
      <c r="U24" s="286"/>
      <c r="V24" s="286"/>
      <c r="W24" s="286"/>
      <c r="X24" s="287"/>
    </row>
    <row r="25" spans="1:35" ht="18.75" customHeight="1" x14ac:dyDescent="0.25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285"/>
      <c r="R25" s="286"/>
      <c r="S25" s="286"/>
      <c r="T25" s="286"/>
      <c r="U25" s="286"/>
      <c r="V25" s="286"/>
      <c r="W25" s="286"/>
      <c r="X25" s="287"/>
    </row>
    <row r="26" spans="1:35" ht="18.75" customHeight="1" x14ac:dyDescent="0.2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285"/>
      <c r="R26" s="286"/>
      <c r="S26" s="286"/>
      <c r="T26" s="286"/>
      <c r="U26" s="286"/>
      <c r="V26" s="286"/>
      <c r="W26" s="286"/>
      <c r="X26" s="287"/>
    </row>
    <row r="27" spans="1:35" ht="18.75" customHeight="1" x14ac:dyDescent="0.2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285"/>
      <c r="R27" s="286"/>
      <c r="S27" s="286"/>
      <c r="T27" s="286"/>
      <c r="U27" s="286"/>
      <c r="V27" s="286"/>
      <c r="W27" s="286"/>
      <c r="X27" s="287"/>
    </row>
    <row r="28" spans="1:35" ht="18.75" customHeight="1" x14ac:dyDescent="0.25">
      <c r="A28" s="31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285"/>
      <c r="R28" s="286"/>
      <c r="S28" s="286"/>
      <c r="T28" s="286"/>
      <c r="U28" s="286"/>
      <c r="V28" s="286"/>
      <c r="W28" s="286"/>
      <c r="X28" s="287"/>
    </row>
    <row r="29" spans="1:35" ht="18.75" customHeight="1" x14ac:dyDescent="0.25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285"/>
      <c r="R29" s="286"/>
      <c r="S29" s="286"/>
      <c r="T29" s="286"/>
      <c r="U29" s="286"/>
      <c r="V29" s="286"/>
      <c r="W29" s="286"/>
      <c r="X29" s="287"/>
    </row>
    <row r="30" spans="1:35" ht="18.75" customHeight="1" x14ac:dyDescent="0.25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285"/>
      <c r="R30" s="286"/>
      <c r="S30" s="286"/>
      <c r="T30" s="286"/>
      <c r="U30" s="286"/>
      <c r="V30" s="286"/>
      <c r="W30" s="286"/>
      <c r="X30" s="287"/>
    </row>
    <row r="31" spans="1:35" ht="18.75" customHeight="1" x14ac:dyDescent="0.2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285"/>
      <c r="R31" s="286"/>
      <c r="S31" s="286"/>
      <c r="T31" s="286"/>
      <c r="U31" s="286"/>
      <c r="V31" s="286"/>
      <c r="W31" s="286"/>
      <c r="X31" s="287"/>
    </row>
    <row r="32" spans="1:35" ht="18.75" customHeight="1" x14ac:dyDescent="0.2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285"/>
      <c r="R32" s="286"/>
      <c r="S32" s="286"/>
      <c r="T32" s="286"/>
      <c r="U32" s="286"/>
      <c r="V32" s="286"/>
      <c r="W32" s="286"/>
      <c r="X32" s="287"/>
    </row>
    <row r="33" spans="1:24" ht="18.75" customHeight="1" thickBot="1" x14ac:dyDescent="0.3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288"/>
      <c r="R33" s="289"/>
      <c r="S33" s="289"/>
      <c r="T33" s="289"/>
      <c r="U33" s="289"/>
      <c r="V33" s="289"/>
      <c r="W33" s="289"/>
      <c r="X33" s="290"/>
    </row>
    <row r="34" spans="1:24" ht="18.75" customHeight="1" x14ac:dyDescent="0.25">
      <c r="A34" s="31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</row>
    <row r="35" spans="1:24" ht="18.75" customHeight="1" x14ac:dyDescent="0.2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</row>
    <row r="36" spans="1:24" ht="18.75" customHeight="1" x14ac:dyDescent="0.25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</row>
    <row r="37" spans="1:24" ht="18.75" customHeight="1" x14ac:dyDescent="0.2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</row>
    <row r="38" spans="1:24" ht="18.75" customHeight="1" x14ac:dyDescent="0.25">
      <c r="A38" s="31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</row>
    <row r="39" spans="1:24" ht="18.75" customHeight="1" x14ac:dyDescent="0.25">
      <c r="A39" s="31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</row>
    <row r="40" spans="1:24" ht="18.75" customHeight="1" x14ac:dyDescent="0.25">
      <c r="A40" s="31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</row>
    <row r="41" spans="1:24" ht="18.75" customHeight="1" x14ac:dyDescent="0.25">
      <c r="A41" s="31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</row>
    <row r="42" spans="1:24" ht="18.75" customHeight="1" x14ac:dyDescent="0.25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</row>
    <row r="43" spans="1:24" ht="18.75" customHeight="1" x14ac:dyDescent="0.25">
      <c r="A43" s="31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</row>
    <row r="44" spans="1:24" ht="18.75" customHeight="1" x14ac:dyDescent="0.25">
      <c r="A44" s="31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</row>
    <row r="45" spans="1:24" ht="18.75" customHeight="1" x14ac:dyDescent="0.25">
      <c r="A45" s="31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</row>
    <row r="46" spans="1:24" ht="18.75" customHeight="1" x14ac:dyDescent="0.25">
      <c r="A46" s="31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</row>
    <row r="47" spans="1:24" ht="18.75" customHeight="1" x14ac:dyDescent="0.25">
      <c r="A47" s="31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</row>
    <row r="48" spans="1:24" ht="18.75" customHeight="1" x14ac:dyDescent="0.25">
      <c r="A48" s="31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</row>
    <row r="49" spans="1:16" ht="18.75" customHeight="1" x14ac:dyDescent="0.25">
      <c r="A49" s="31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</row>
    <row r="50" spans="1:16" ht="18.75" customHeight="1" x14ac:dyDescent="0.25">
      <c r="A50" s="31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</row>
    <row r="51" spans="1:16" ht="18.75" customHeight="1" x14ac:dyDescent="0.25">
      <c r="A51" s="31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</row>
    <row r="52" spans="1:16" ht="18.75" customHeight="1" x14ac:dyDescent="0.25">
      <c r="A52" s="31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</row>
    <row r="53" spans="1:16" ht="18.75" customHeight="1" x14ac:dyDescent="0.25">
      <c r="A53" s="31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</row>
    <row r="54" spans="1:16" ht="18.75" customHeight="1" x14ac:dyDescent="0.25">
      <c r="A54" s="31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</row>
    <row r="55" spans="1:16" ht="18.75" customHeight="1" x14ac:dyDescent="0.25">
      <c r="A55" s="31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</row>
    <row r="56" spans="1:16" ht="18.75" customHeight="1" x14ac:dyDescent="0.25">
      <c r="A56" s="31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</row>
    <row r="57" spans="1:16" ht="18.75" customHeight="1" x14ac:dyDescent="0.25">
      <c r="A57" s="31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</row>
    <row r="58" spans="1:16" ht="18.75" customHeight="1" x14ac:dyDescent="0.25">
      <c r="A58" s="31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</row>
    <row r="59" spans="1:16" ht="18.75" customHeight="1" x14ac:dyDescent="0.25">
      <c r="A59" s="31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</row>
    <row r="60" spans="1:16" ht="18.75" customHeight="1" x14ac:dyDescent="0.25">
      <c r="A60" s="31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</row>
    <row r="61" spans="1:16" ht="18.75" customHeight="1" x14ac:dyDescent="0.25">
      <c r="A61" s="31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</row>
    <row r="62" spans="1:16" ht="18.75" customHeight="1" x14ac:dyDescent="0.25">
      <c r="A62" s="31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</row>
    <row r="63" spans="1:16" ht="18.75" customHeight="1" x14ac:dyDescent="0.25">
      <c r="A63" s="31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</row>
    <row r="64" spans="1:16" ht="18.75" customHeight="1" x14ac:dyDescent="0.25">
      <c r="A64" s="31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</row>
    <row r="65" spans="1:16" ht="18.75" customHeight="1" x14ac:dyDescent="0.25">
      <c r="A65" s="31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</row>
    <row r="66" spans="1:16" ht="18.75" customHeight="1" x14ac:dyDescent="0.25">
      <c r="A66" s="31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</row>
    <row r="67" spans="1:16" ht="18.75" customHeight="1" x14ac:dyDescent="0.25">
      <c r="A67" s="31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</row>
    <row r="68" spans="1:16" ht="18.75" customHeight="1" x14ac:dyDescent="0.25">
      <c r="A68" s="31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</row>
    <row r="69" spans="1:16" ht="18.75" customHeight="1" x14ac:dyDescent="0.25">
      <c r="A69" s="31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</row>
    <row r="70" spans="1:16" ht="18.75" customHeight="1" x14ac:dyDescent="0.25">
      <c r="A70" s="31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</row>
    <row r="71" spans="1:16" ht="18.75" customHeight="1" x14ac:dyDescent="0.25">
      <c r="A71" s="31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</row>
    <row r="72" spans="1:16" ht="18.75" customHeight="1" x14ac:dyDescent="0.25">
      <c r="A72" s="31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</row>
    <row r="73" spans="1:16" ht="18.75" customHeight="1" x14ac:dyDescent="0.25">
      <c r="A73" s="31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</row>
    <row r="74" spans="1:16" ht="18.75" customHeight="1" x14ac:dyDescent="0.25">
      <c r="A74" s="31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</row>
    <row r="75" spans="1:16" ht="18.75" customHeight="1" x14ac:dyDescent="0.25">
      <c r="A75" s="31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</row>
    <row r="76" spans="1:16" ht="18.75" customHeight="1" x14ac:dyDescent="0.25">
      <c r="A76" s="31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</row>
    <row r="77" spans="1:16" ht="18.75" customHeight="1" x14ac:dyDescent="0.25">
      <c r="A77" s="31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</row>
    <row r="78" spans="1:16" ht="18.75" customHeight="1" x14ac:dyDescent="0.25">
      <c r="A78" s="31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</row>
    <row r="79" spans="1:16" ht="18.75" customHeight="1" x14ac:dyDescent="0.25">
      <c r="A79" s="31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</row>
    <row r="80" spans="1:16" ht="18.75" customHeight="1" x14ac:dyDescent="0.25">
      <c r="A80" s="31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</row>
    <row r="81" spans="1:16" ht="18.75" customHeight="1" x14ac:dyDescent="0.25">
      <c r="A81" s="31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</row>
    <row r="82" spans="1:16" ht="18.75" customHeight="1" x14ac:dyDescent="0.25">
      <c r="A82" s="31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</row>
    <row r="83" spans="1:16" ht="18.75" customHeight="1" x14ac:dyDescent="0.25">
      <c r="A83" s="31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</row>
    <row r="84" spans="1:16" ht="18.75" customHeight="1" x14ac:dyDescent="0.25">
      <c r="A84" s="31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</row>
    <row r="85" spans="1:16" ht="18.75" customHeight="1" x14ac:dyDescent="0.25">
      <c r="A85" s="31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</row>
    <row r="86" spans="1:16" ht="18.75" customHeight="1" x14ac:dyDescent="0.25">
      <c r="A86" s="31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</row>
    <row r="87" spans="1:16" ht="18.75" customHeight="1" x14ac:dyDescent="0.25">
      <c r="A87" s="31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</row>
    <row r="88" spans="1:16" ht="18.75" customHeight="1" x14ac:dyDescent="0.25">
      <c r="A88" s="31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</row>
    <row r="89" spans="1:16" ht="18.75" customHeight="1" x14ac:dyDescent="0.25">
      <c r="A89" s="31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</row>
    <row r="90" spans="1:16" ht="18.75" customHeight="1" x14ac:dyDescent="0.25">
      <c r="A90" s="31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</row>
    <row r="91" spans="1:16" ht="18.75" customHeight="1" x14ac:dyDescent="0.25">
      <c r="A91" s="31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</row>
    <row r="92" spans="1:16" ht="18.75" customHeight="1" x14ac:dyDescent="0.25">
      <c r="A92" s="31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</row>
    <row r="93" spans="1:16" ht="18.75" customHeight="1" x14ac:dyDescent="0.25">
      <c r="A93" s="31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</row>
    <row r="94" spans="1:16" ht="18.75" customHeight="1" x14ac:dyDescent="0.25">
      <c r="A94" s="31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</row>
    <row r="95" spans="1:16" ht="18.75" customHeight="1" x14ac:dyDescent="0.25">
      <c r="A95" s="31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</row>
    <row r="96" spans="1:16" ht="18.75" customHeight="1" x14ac:dyDescent="0.25">
      <c r="A96" s="31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</row>
    <row r="97" spans="1:16" ht="18.75" customHeight="1" x14ac:dyDescent="0.25">
      <c r="A97" s="31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</row>
    <row r="98" spans="1:16" ht="18.75" customHeight="1" x14ac:dyDescent="0.25">
      <c r="A98" s="31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</row>
    <row r="99" spans="1:16" ht="18.75" customHeight="1" x14ac:dyDescent="0.25">
      <c r="A99" s="31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</row>
    <row r="100" spans="1:16" ht="18.75" customHeight="1" x14ac:dyDescent="0.25">
      <c r="A100" s="31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</row>
    <row r="101" spans="1:16" ht="15" customHeight="1" x14ac:dyDescent="0.25">
      <c r="A101" s="31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</row>
  </sheetData>
  <customSheetViews>
    <customSheetView guid="{242195EF-1BA9-4DD7-B6CB-B6756D3C6090}" scale="80">
      <selection activeCell="W8" sqref="W8"/>
      <pageMargins left="0.7" right="0.7" top="0.75" bottom="0.75" header="0" footer="0"/>
      <pageSetup paperSize="9" orientation="portrait" r:id="rId1"/>
    </customSheetView>
  </customSheetViews>
  <mergeCells count="8">
    <mergeCell ref="R15:AA15"/>
    <mergeCell ref="Q13:Q15"/>
    <mergeCell ref="Q17:X33"/>
    <mergeCell ref="A1:M1"/>
    <mergeCell ref="N1:N2"/>
    <mergeCell ref="O1:O2"/>
    <mergeCell ref="P1:P2"/>
    <mergeCell ref="R13:AA13"/>
  </mergeCells>
  <conditionalFormatting sqref="R2:AA11">
    <cfRule type="cellIs" dxfId="0" priority="1" operator="equal">
      <formula>0</formula>
    </cfRule>
  </conditionalFormatting>
  <pageMargins left="0.7" right="0.7" top="0.75" bottom="0.75" header="0" footer="0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0"/>
  <sheetViews>
    <sheetView topLeftCell="M1" zoomScale="80" zoomScaleNormal="80" workbookViewId="0">
      <selection activeCell="AD15" sqref="AD15"/>
    </sheetView>
  </sheetViews>
  <sheetFormatPr defaultColWidth="14.42578125" defaultRowHeight="15" customHeight="1" x14ac:dyDescent="0.25"/>
  <cols>
    <col min="1" max="1" width="12" style="179" customWidth="1"/>
    <col min="2" max="11" width="3.85546875" style="179" customWidth="1"/>
    <col min="12" max="12" width="12" style="179" customWidth="1"/>
    <col min="13" max="14" width="9.5703125" style="179" customWidth="1"/>
    <col min="15" max="15" width="20.5703125" style="238" customWidth="1"/>
    <col min="16" max="25" width="7.42578125" style="179" bestFit="1" customWidth="1"/>
    <col min="26" max="26" width="16.28515625" style="179" customWidth="1"/>
    <col min="27" max="34" width="11.85546875" style="238" customWidth="1"/>
    <col min="35" max="81" width="11.85546875" style="179" customWidth="1"/>
    <col min="82" max="16384" width="14.42578125" style="179"/>
  </cols>
  <sheetData>
    <row r="1" spans="1:34" ht="27" customHeight="1" thickBot="1" x14ac:dyDescent="0.3">
      <c r="A1" s="175" t="s">
        <v>0</v>
      </c>
      <c r="B1" s="176" t="s">
        <v>1</v>
      </c>
      <c r="C1" s="177" t="s">
        <v>2</v>
      </c>
      <c r="D1" s="177" t="s">
        <v>3</v>
      </c>
      <c r="E1" s="177" t="s">
        <v>4</v>
      </c>
      <c r="F1" s="177" t="s">
        <v>5</v>
      </c>
      <c r="G1" s="177" t="s">
        <v>6</v>
      </c>
      <c r="H1" s="177" t="s">
        <v>7</v>
      </c>
      <c r="I1" s="177" t="s">
        <v>8</v>
      </c>
      <c r="J1" s="177" t="s">
        <v>9</v>
      </c>
      <c r="K1" s="177" t="s">
        <v>10</v>
      </c>
      <c r="L1" s="177" t="s">
        <v>11</v>
      </c>
      <c r="M1" s="177" t="s">
        <v>12</v>
      </c>
      <c r="N1" s="178"/>
      <c r="O1" s="339" t="s">
        <v>31</v>
      </c>
      <c r="P1" s="340"/>
      <c r="Q1" s="340"/>
      <c r="R1" s="340"/>
      <c r="S1" s="340"/>
      <c r="T1" s="340"/>
      <c r="U1" s="340"/>
      <c r="V1" s="340"/>
      <c r="W1" s="340"/>
      <c r="X1" s="340"/>
      <c r="Y1" s="340"/>
      <c r="Z1" s="341" t="s">
        <v>26</v>
      </c>
      <c r="AA1" s="311" t="s">
        <v>15</v>
      </c>
      <c r="AB1" s="313" t="s">
        <v>27</v>
      </c>
      <c r="AC1" s="315" t="s">
        <v>28</v>
      </c>
      <c r="AD1" s="317" t="s">
        <v>22</v>
      </c>
      <c r="AE1" s="317" t="s">
        <v>23</v>
      </c>
      <c r="AF1" s="322" t="s">
        <v>24</v>
      </c>
      <c r="AG1" s="323"/>
      <c r="AH1" s="306" t="s">
        <v>25</v>
      </c>
    </row>
    <row r="2" spans="1:34" ht="18.75" customHeight="1" thickBot="1" x14ac:dyDescent="0.3">
      <c r="A2" s="180" t="s">
        <v>1</v>
      </c>
      <c r="B2" s="181">
        <v>0</v>
      </c>
      <c r="C2" s="182">
        <v>1</v>
      </c>
      <c r="D2" s="182">
        <v>1</v>
      </c>
      <c r="E2" s="182">
        <v>1</v>
      </c>
      <c r="F2" s="183">
        <v>0</v>
      </c>
      <c r="G2" s="183">
        <v>0</v>
      </c>
      <c r="H2" s="183">
        <v>0</v>
      </c>
      <c r="I2" s="183">
        <v>0</v>
      </c>
      <c r="J2" s="183">
        <v>0</v>
      </c>
      <c r="K2" s="184">
        <v>0</v>
      </c>
      <c r="L2" s="185">
        <f t="shared" ref="L2:L11" si="0">SUM(B2:K2)</f>
        <v>3</v>
      </c>
      <c r="M2" s="186">
        <f>L2+B12</f>
        <v>4</v>
      </c>
      <c r="N2" s="187"/>
      <c r="O2" s="188" t="s">
        <v>0</v>
      </c>
      <c r="P2" s="189" t="s">
        <v>1</v>
      </c>
      <c r="Q2" s="190" t="s">
        <v>2</v>
      </c>
      <c r="R2" s="190" t="s">
        <v>3</v>
      </c>
      <c r="S2" s="190" t="s">
        <v>4</v>
      </c>
      <c r="T2" s="190" t="s">
        <v>5</v>
      </c>
      <c r="U2" s="190" t="s">
        <v>6</v>
      </c>
      <c r="V2" s="190" t="s">
        <v>7</v>
      </c>
      <c r="W2" s="190" t="s">
        <v>8</v>
      </c>
      <c r="X2" s="190" t="s">
        <v>9</v>
      </c>
      <c r="Y2" s="191" t="s">
        <v>10</v>
      </c>
      <c r="Z2" s="342"/>
      <c r="AA2" s="312"/>
      <c r="AB2" s="314"/>
      <c r="AC2" s="316"/>
      <c r="AD2" s="318"/>
      <c r="AE2" s="318"/>
      <c r="AF2" s="324"/>
      <c r="AG2" s="325"/>
      <c r="AH2" s="307"/>
    </row>
    <row r="3" spans="1:34" ht="18.75" customHeight="1" thickBot="1" x14ac:dyDescent="0.3">
      <c r="A3" s="192" t="s">
        <v>2</v>
      </c>
      <c r="B3" s="193">
        <v>0</v>
      </c>
      <c r="C3" s="194">
        <v>0</v>
      </c>
      <c r="D3" s="195">
        <v>1</v>
      </c>
      <c r="E3" s="196">
        <v>0</v>
      </c>
      <c r="F3" s="196">
        <v>0</v>
      </c>
      <c r="G3" s="196">
        <v>0</v>
      </c>
      <c r="H3" s="196">
        <v>0</v>
      </c>
      <c r="I3" s="196">
        <v>0</v>
      </c>
      <c r="J3" s="195">
        <v>1</v>
      </c>
      <c r="K3" s="197">
        <v>0</v>
      </c>
      <c r="L3" s="198">
        <f t="shared" si="0"/>
        <v>2</v>
      </c>
      <c r="M3" s="186">
        <f>L3+C12</f>
        <v>4</v>
      </c>
      <c r="N3" s="187"/>
      <c r="O3" s="199" t="s">
        <v>1</v>
      </c>
      <c r="P3" s="200" t="s">
        <v>16</v>
      </c>
      <c r="Q3" s="201">
        <v>1</v>
      </c>
      <c r="R3" s="201">
        <v>1</v>
      </c>
      <c r="S3" s="201">
        <v>1</v>
      </c>
      <c r="T3" s="201">
        <v>3</v>
      </c>
      <c r="U3" s="201">
        <v>2</v>
      </c>
      <c r="V3" s="201">
        <v>3</v>
      </c>
      <c r="W3" s="201">
        <v>4</v>
      </c>
      <c r="X3" s="201">
        <v>2</v>
      </c>
      <c r="Y3" s="202">
        <v>2</v>
      </c>
      <c r="Z3" s="241">
        <f>AVERAGE(P3:Y3)</f>
        <v>2.1111111111111112</v>
      </c>
      <c r="AA3" s="244">
        <f>MAX(P3:Y3)</f>
        <v>4</v>
      </c>
      <c r="AB3" s="333">
        <f>MIN(AA3:AA12)</f>
        <v>4</v>
      </c>
      <c r="AC3" s="336">
        <f>MAX(AA3:AA12)</f>
        <v>8</v>
      </c>
      <c r="AD3" s="308" t="s">
        <v>34</v>
      </c>
      <c r="AE3" s="308" t="s">
        <v>35</v>
      </c>
      <c r="AF3" s="245">
        <f>AVERAGE(P3:Y3)</f>
        <v>2.1111111111111112</v>
      </c>
      <c r="AG3" s="319">
        <f>MEDIAN(AF3:AF12)</f>
        <v>3.0555555555555554</v>
      </c>
      <c r="AH3" s="303">
        <f>AVERAGE(AF3:AF12)</f>
        <v>3.177777777777778</v>
      </c>
    </row>
    <row r="4" spans="1:34" ht="18.75" customHeight="1" thickBot="1" x14ac:dyDescent="0.3">
      <c r="A4" s="192" t="s">
        <v>3</v>
      </c>
      <c r="B4" s="193">
        <v>0</v>
      </c>
      <c r="C4" s="195">
        <v>1</v>
      </c>
      <c r="D4" s="194">
        <v>0</v>
      </c>
      <c r="E4" s="196">
        <v>0</v>
      </c>
      <c r="F4" s="196">
        <v>0</v>
      </c>
      <c r="G4" s="195">
        <v>1</v>
      </c>
      <c r="H4" s="196">
        <v>0</v>
      </c>
      <c r="I4" s="196">
        <v>0</v>
      </c>
      <c r="J4" s="196">
        <v>0</v>
      </c>
      <c r="K4" s="197">
        <v>0</v>
      </c>
      <c r="L4" s="198">
        <f t="shared" si="0"/>
        <v>2</v>
      </c>
      <c r="M4" s="186">
        <f>L4+D12</f>
        <v>4</v>
      </c>
      <c r="N4" s="187"/>
      <c r="O4" s="203" t="s">
        <v>2</v>
      </c>
      <c r="P4" s="204">
        <v>5</v>
      </c>
      <c r="Q4" s="205" t="s">
        <v>16</v>
      </c>
      <c r="R4" s="206">
        <v>1</v>
      </c>
      <c r="S4" s="206">
        <v>4</v>
      </c>
      <c r="T4" s="206">
        <v>3</v>
      </c>
      <c r="U4" s="206">
        <v>2</v>
      </c>
      <c r="V4" s="206">
        <v>3</v>
      </c>
      <c r="W4" s="206">
        <v>2</v>
      </c>
      <c r="X4" s="206">
        <v>1</v>
      </c>
      <c r="Y4" s="207">
        <v>2</v>
      </c>
      <c r="Z4" s="242">
        <f t="shared" ref="Z4:Z12" si="1">AVERAGE(P4:Y4)</f>
        <v>2.5555555555555554</v>
      </c>
      <c r="AA4" s="246">
        <f t="shared" ref="AA4:AA12" si="2">MAX(P4:Y4)</f>
        <v>5</v>
      </c>
      <c r="AB4" s="334">
        <f t="shared" ref="AB4:AB12" si="3">MIN(AB3:AK3)</f>
        <v>2.1111111111111112</v>
      </c>
      <c r="AC4" s="337"/>
      <c r="AD4" s="309"/>
      <c r="AE4" s="309"/>
      <c r="AF4" s="247">
        <f t="shared" ref="AF4:AF12" si="4">AVERAGE(P4:Y4)</f>
        <v>2.5555555555555554</v>
      </c>
      <c r="AG4" s="320"/>
      <c r="AH4" s="304"/>
    </row>
    <row r="5" spans="1:34" ht="18.75" customHeight="1" thickBot="1" x14ac:dyDescent="0.3">
      <c r="A5" s="192" t="s">
        <v>4</v>
      </c>
      <c r="B5" s="208">
        <v>1</v>
      </c>
      <c r="C5" s="196">
        <v>0</v>
      </c>
      <c r="D5" s="196">
        <v>0</v>
      </c>
      <c r="E5" s="194">
        <v>0</v>
      </c>
      <c r="F5" s="196">
        <v>0</v>
      </c>
      <c r="G5" s="196">
        <v>0</v>
      </c>
      <c r="H5" s="196">
        <v>0</v>
      </c>
      <c r="I5" s="196">
        <v>0</v>
      </c>
      <c r="J5" s="196">
        <v>0</v>
      </c>
      <c r="K5" s="209">
        <v>1</v>
      </c>
      <c r="L5" s="198">
        <f t="shared" si="0"/>
        <v>2</v>
      </c>
      <c r="M5" s="186">
        <f>L5+E12</f>
        <v>4</v>
      </c>
      <c r="N5" s="187"/>
      <c r="O5" s="203" t="s">
        <v>3</v>
      </c>
      <c r="P5" s="204">
        <v>6</v>
      </c>
      <c r="Q5" s="206">
        <v>1</v>
      </c>
      <c r="R5" s="205" t="s">
        <v>16</v>
      </c>
      <c r="S5" s="206">
        <v>5</v>
      </c>
      <c r="T5" s="206">
        <v>4</v>
      </c>
      <c r="U5" s="206">
        <v>1</v>
      </c>
      <c r="V5" s="206">
        <v>2</v>
      </c>
      <c r="W5" s="206">
        <v>3</v>
      </c>
      <c r="X5" s="206">
        <v>2</v>
      </c>
      <c r="Y5" s="207">
        <v>3</v>
      </c>
      <c r="Z5" s="242">
        <f t="shared" si="1"/>
        <v>3</v>
      </c>
      <c r="AA5" s="246">
        <f t="shared" si="2"/>
        <v>6</v>
      </c>
      <c r="AB5" s="334">
        <f t="shared" si="3"/>
        <v>2.1111111111111112</v>
      </c>
      <c r="AC5" s="337"/>
      <c r="AD5" s="309"/>
      <c r="AE5" s="309"/>
      <c r="AF5" s="247">
        <f t="shared" si="4"/>
        <v>3</v>
      </c>
      <c r="AG5" s="320"/>
      <c r="AH5" s="304"/>
    </row>
    <row r="6" spans="1:34" ht="18.75" customHeight="1" thickBot="1" x14ac:dyDescent="0.3">
      <c r="A6" s="192" t="s">
        <v>5</v>
      </c>
      <c r="B6" s="193">
        <v>0</v>
      </c>
      <c r="C6" s="196">
        <v>0</v>
      </c>
      <c r="D6" s="196">
        <v>0</v>
      </c>
      <c r="E6" s="195">
        <v>1</v>
      </c>
      <c r="F6" s="194">
        <v>0</v>
      </c>
      <c r="G6" s="196">
        <v>0</v>
      </c>
      <c r="H6" s="196">
        <v>0</v>
      </c>
      <c r="I6" s="196">
        <v>0</v>
      </c>
      <c r="J6" s="196">
        <v>0</v>
      </c>
      <c r="K6" s="197">
        <v>0</v>
      </c>
      <c r="L6" s="198">
        <f t="shared" si="0"/>
        <v>1</v>
      </c>
      <c r="M6" s="186">
        <f>L6+F12</f>
        <v>2</v>
      </c>
      <c r="N6" s="187"/>
      <c r="O6" s="203" t="s">
        <v>4</v>
      </c>
      <c r="P6" s="204">
        <v>1</v>
      </c>
      <c r="Q6" s="206">
        <v>2</v>
      </c>
      <c r="R6" s="206">
        <v>2</v>
      </c>
      <c r="S6" s="205" t="s">
        <v>16</v>
      </c>
      <c r="T6" s="206">
        <v>2</v>
      </c>
      <c r="U6" s="206">
        <v>3</v>
      </c>
      <c r="V6" s="206">
        <v>4</v>
      </c>
      <c r="W6" s="206">
        <v>3</v>
      </c>
      <c r="X6" s="206">
        <v>2</v>
      </c>
      <c r="Y6" s="207">
        <v>1</v>
      </c>
      <c r="Z6" s="242">
        <f t="shared" si="1"/>
        <v>2.2222222222222223</v>
      </c>
      <c r="AA6" s="246">
        <f t="shared" si="2"/>
        <v>4</v>
      </c>
      <c r="AB6" s="334">
        <f t="shared" si="3"/>
        <v>2.1111111111111112</v>
      </c>
      <c r="AC6" s="337"/>
      <c r="AD6" s="309"/>
      <c r="AE6" s="309"/>
      <c r="AF6" s="247">
        <f t="shared" si="4"/>
        <v>2.2222222222222223</v>
      </c>
      <c r="AG6" s="320"/>
      <c r="AH6" s="304"/>
    </row>
    <row r="7" spans="1:34" ht="18.75" customHeight="1" thickBot="1" x14ac:dyDescent="0.3">
      <c r="A7" s="192" t="s">
        <v>6</v>
      </c>
      <c r="B7" s="193">
        <v>0</v>
      </c>
      <c r="C7" s="196">
        <v>0</v>
      </c>
      <c r="D7" s="196">
        <v>0</v>
      </c>
      <c r="E7" s="196">
        <v>0</v>
      </c>
      <c r="F7" s="196">
        <v>0</v>
      </c>
      <c r="G7" s="194">
        <v>0</v>
      </c>
      <c r="H7" s="195">
        <v>1</v>
      </c>
      <c r="I7" s="196">
        <v>0</v>
      </c>
      <c r="J7" s="196">
        <v>0</v>
      </c>
      <c r="K7" s="197">
        <v>0</v>
      </c>
      <c r="L7" s="198">
        <f t="shared" si="0"/>
        <v>1</v>
      </c>
      <c r="M7" s="186">
        <f>L7+G12</f>
        <v>4</v>
      </c>
      <c r="N7" s="187"/>
      <c r="O7" s="203" t="s">
        <v>5</v>
      </c>
      <c r="P7" s="204">
        <v>2</v>
      </c>
      <c r="Q7" s="206">
        <v>3</v>
      </c>
      <c r="R7" s="206">
        <v>3</v>
      </c>
      <c r="S7" s="206">
        <v>1</v>
      </c>
      <c r="T7" s="205" t="s">
        <v>16</v>
      </c>
      <c r="U7" s="206">
        <v>4</v>
      </c>
      <c r="V7" s="206">
        <v>6</v>
      </c>
      <c r="W7" s="206">
        <v>4</v>
      </c>
      <c r="X7" s="206">
        <v>3</v>
      </c>
      <c r="Y7" s="207">
        <v>2</v>
      </c>
      <c r="Z7" s="242">
        <f t="shared" si="1"/>
        <v>3.1111111111111112</v>
      </c>
      <c r="AA7" s="246">
        <f t="shared" si="2"/>
        <v>6</v>
      </c>
      <c r="AB7" s="334">
        <f t="shared" si="3"/>
        <v>2.1111111111111112</v>
      </c>
      <c r="AC7" s="337"/>
      <c r="AD7" s="309"/>
      <c r="AE7" s="309"/>
      <c r="AF7" s="247">
        <f t="shared" si="4"/>
        <v>3.1111111111111112</v>
      </c>
      <c r="AG7" s="320"/>
      <c r="AH7" s="304"/>
    </row>
    <row r="8" spans="1:34" ht="18.75" customHeight="1" thickBot="1" x14ac:dyDescent="0.3">
      <c r="A8" s="192" t="s">
        <v>7</v>
      </c>
      <c r="B8" s="193">
        <v>0</v>
      </c>
      <c r="C8" s="196">
        <v>0</v>
      </c>
      <c r="D8" s="196">
        <v>0</v>
      </c>
      <c r="E8" s="196">
        <v>0</v>
      </c>
      <c r="F8" s="196">
        <v>0</v>
      </c>
      <c r="G8" s="195">
        <v>1</v>
      </c>
      <c r="H8" s="194">
        <v>0</v>
      </c>
      <c r="I8" s="195">
        <v>1</v>
      </c>
      <c r="J8" s="195">
        <v>1</v>
      </c>
      <c r="K8" s="197">
        <v>0</v>
      </c>
      <c r="L8" s="198">
        <f t="shared" si="0"/>
        <v>3</v>
      </c>
      <c r="M8" s="186">
        <f>L8+H12</f>
        <v>4</v>
      </c>
      <c r="N8" s="187"/>
      <c r="O8" s="203" t="s">
        <v>6</v>
      </c>
      <c r="P8" s="204">
        <v>6</v>
      </c>
      <c r="Q8" s="206">
        <v>7</v>
      </c>
      <c r="R8" s="206">
        <v>7</v>
      </c>
      <c r="S8" s="206">
        <v>5</v>
      </c>
      <c r="T8" s="206">
        <v>4</v>
      </c>
      <c r="U8" s="205" t="s">
        <v>16</v>
      </c>
      <c r="V8" s="206">
        <v>1</v>
      </c>
      <c r="W8" s="206">
        <v>2</v>
      </c>
      <c r="X8" s="206">
        <v>2</v>
      </c>
      <c r="Y8" s="207">
        <v>3</v>
      </c>
      <c r="Z8" s="242">
        <f t="shared" si="1"/>
        <v>4.1111111111111107</v>
      </c>
      <c r="AA8" s="246">
        <f t="shared" si="2"/>
        <v>7</v>
      </c>
      <c r="AB8" s="334">
        <f t="shared" si="3"/>
        <v>2.1111111111111112</v>
      </c>
      <c r="AC8" s="337"/>
      <c r="AD8" s="309"/>
      <c r="AE8" s="309"/>
      <c r="AF8" s="247">
        <f t="shared" si="4"/>
        <v>4.1111111111111107</v>
      </c>
      <c r="AG8" s="320"/>
      <c r="AH8" s="304"/>
    </row>
    <row r="9" spans="1:34" ht="18.75" customHeight="1" thickBot="1" x14ac:dyDescent="0.3">
      <c r="A9" s="192" t="s">
        <v>8</v>
      </c>
      <c r="B9" s="193">
        <v>0</v>
      </c>
      <c r="C9" s="196">
        <v>0</v>
      </c>
      <c r="D9" s="196">
        <v>0</v>
      </c>
      <c r="E9" s="196">
        <v>0</v>
      </c>
      <c r="F9" s="196">
        <v>0</v>
      </c>
      <c r="G9" s="195">
        <v>1</v>
      </c>
      <c r="H9" s="196">
        <v>0</v>
      </c>
      <c r="I9" s="194">
        <v>0</v>
      </c>
      <c r="J9" s="196">
        <v>0</v>
      </c>
      <c r="K9" s="197">
        <v>0</v>
      </c>
      <c r="L9" s="198">
        <f t="shared" si="0"/>
        <v>1</v>
      </c>
      <c r="M9" s="186">
        <f>L9+I12</f>
        <v>3</v>
      </c>
      <c r="N9" s="187"/>
      <c r="O9" s="203" t="s">
        <v>7</v>
      </c>
      <c r="P9" s="204">
        <v>5</v>
      </c>
      <c r="Q9" s="206">
        <v>6</v>
      </c>
      <c r="R9" s="206">
        <v>6</v>
      </c>
      <c r="S9" s="206">
        <v>4</v>
      </c>
      <c r="T9" s="206">
        <v>3</v>
      </c>
      <c r="U9" s="206">
        <v>1</v>
      </c>
      <c r="V9" s="205" t="s">
        <v>16</v>
      </c>
      <c r="W9" s="206">
        <v>1</v>
      </c>
      <c r="X9" s="206">
        <v>1</v>
      </c>
      <c r="Y9" s="207">
        <v>2</v>
      </c>
      <c r="Z9" s="242">
        <f t="shared" si="1"/>
        <v>3.2222222222222223</v>
      </c>
      <c r="AA9" s="246">
        <f t="shared" si="2"/>
        <v>6</v>
      </c>
      <c r="AB9" s="334">
        <f t="shared" si="3"/>
        <v>2.1111111111111112</v>
      </c>
      <c r="AC9" s="337"/>
      <c r="AD9" s="309"/>
      <c r="AE9" s="309"/>
      <c r="AF9" s="247">
        <f t="shared" si="4"/>
        <v>3.2222222222222223</v>
      </c>
      <c r="AG9" s="320"/>
      <c r="AH9" s="304"/>
    </row>
    <row r="10" spans="1:34" ht="18.75" customHeight="1" thickBot="1" x14ac:dyDescent="0.3">
      <c r="A10" s="192" t="s">
        <v>9</v>
      </c>
      <c r="B10" s="193">
        <v>0</v>
      </c>
      <c r="C10" s="196">
        <v>0</v>
      </c>
      <c r="D10" s="196">
        <v>0</v>
      </c>
      <c r="E10" s="196">
        <v>0</v>
      </c>
      <c r="F10" s="196">
        <v>0</v>
      </c>
      <c r="G10" s="196">
        <v>0</v>
      </c>
      <c r="H10" s="196">
        <v>0</v>
      </c>
      <c r="I10" s="195">
        <v>1</v>
      </c>
      <c r="J10" s="194">
        <v>0</v>
      </c>
      <c r="K10" s="209">
        <v>1</v>
      </c>
      <c r="L10" s="198">
        <f t="shared" si="0"/>
        <v>2</v>
      </c>
      <c r="M10" s="186">
        <f>L10+J12</f>
        <v>5</v>
      </c>
      <c r="N10" s="187"/>
      <c r="O10" s="203" t="s">
        <v>8</v>
      </c>
      <c r="P10" s="204">
        <v>7</v>
      </c>
      <c r="Q10" s="206">
        <v>8</v>
      </c>
      <c r="R10" s="206">
        <v>8</v>
      </c>
      <c r="S10" s="206">
        <v>6</v>
      </c>
      <c r="T10" s="206">
        <v>5</v>
      </c>
      <c r="U10" s="206">
        <v>1</v>
      </c>
      <c r="V10" s="206">
        <v>2</v>
      </c>
      <c r="W10" s="205" t="s">
        <v>16</v>
      </c>
      <c r="X10" s="206">
        <v>3</v>
      </c>
      <c r="Y10" s="207">
        <v>4</v>
      </c>
      <c r="Z10" s="242">
        <f t="shared" si="1"/>
        <v>4.8888888888888893</v>
      </c>
      <c r="AA10" s="246">
        <f t="shared" si="2"/>
        <v>8</v>
      </c>
      <c r="AB10" s="334">
        <f t="shared" si="3"/>
        <v>2.1111111111111112</v>
      </c>
      <c r="AC10" s="337"/>
      <c r="AD10" s="309"/>
      <c r="AE10" s="309"/>
      <c r="AF10" s="247">
        <f t="shared" si="4"/>
        <v>4.8888888888888893</v>
      </c>
      <c r="AG10" s="320"/>
      <c r="AH10" s="304"/>
    </row>
    <row r="11" spans="1:34" ht="18.75" customHeight="1" thickBot="1" x14ac:dyDescent="0.3">
      <c r="A11" s="210" t="s">
        <v>10</v>
      </c>
      <c r="B11" s="211">
        <v>0</v>
      </c>
      <c r="C11" s="212">
        <v>0</v>
      </c>
      <c r="D11" s="196">
        <v>0</v>
      </c>
      <c r="E11" s="196">
        <v>0</v>
      </c>
      <c r="F11" s="195">
        <v>1</v>
      </c>
      <c r="G11" s="212">
        <v>0</v>
      </c>
      <c r="H11" s="212">
        <v>0</v>
      </c>
      <c r="I11" s="212">
        <v>0</v>
      </c>
      <c r="J11" s="213">
        <v>1</v>
      </c>
      <c r="K11" s="214">
        <v>0</v>
      </c>
      <c r="L11" s="215">
        <f t="shared" si="0"/>
        <v>2</v>
      </c>
      <c r="M11" s="186">
        <f>L11+K12</f>
        <v>4</v>
      </c>
      <c r="N11" s="187"/>
      <c r="O11" s="203" t="s">
        <v>9</v>
      </c>
      <c r="P11" s="204">
        <v>4</v>
      </c>
      <c r="Q11" s="206">
        <v>5</v>
      </c>
      <c r="R11" s="206">
        <v>5</v>
      </c>
      <c r="S11" s="206">
        <v>3</v>
      </c>
      <c r="T11" s="206">
        <v>2</v>
      </c>
      <c r="U11" s="206">
        <v>2</v>
      </c>
      <c r="V11" s="206">
        <v>3</v>
      </c>
      <c r="W11" s="206">
        <v>1</v>
      </c>
      <c r="X11" s="205" t="s">
        <v>16</v>
      </c>
      <c r="Y11" s="207">
        <v>1</v>
      </c>
      <c r="Z11" s="242">
        <f t="shared" si="1"/>
        <v>2.8888888888888888</v>
      </c>
      <c r="AA11" s="246">
        <f t="shared" si="2"/>
        <v>5</v>
      </c>
      <c r="AB11" s="334">
        <f t="shared" si="3"/>
        <v>2.1111111111111112</v>
      </c>
      <c r="AC11" s="337"/>
      <c r="AD11" s="309"/>
      <c r="AE11" s="309"/>
      <c r="AF11" s="247">
        <f t="shared" si="4"/>
        <v>2.8888888888888888</v>
      </c>
      <c r="AG11" s="320"/>
      <c r="AH11" s="304"/>
    </row>
    <row r="12" spans="1:34" ht="18.75" customHeight="1" thickBot="1" x14ac:dyDescent="0.3">
      <c r="A12" s="216" t="s">
        <v>13</v>
      </c>
      <c r="B12" s="217">
        <f t="shared" ref="B12:K12" si="5">SUM(B2:B11)</f>
        <v>1</v>
      </c>
      <c r="C12" s="218">
        <f t="shared" si="5"/>
        <v>2</v>
      </c>
      <c r="D12" s="218">
        <f t="shared" si="5"/>
        <v>2</v>
      </c>
      <c r="E12" s="218">
        <f t="shared" si="5"/>
        <v>2</v>
      </c>
      <c r="F12" s="218">
        <f t="shared" si="5"/>
        <v>1</v>
      </c>
      <c r="G12" s="218">
        <f t="shared" si="5"/>
        <v>3</v>
      </c>
      <c r="H12" s="218">
        <f t="shared" si="5"/>
        <v>1</v>
      </c>
      <c r="I12" s="218">
        <f t="shared" si="5"/>
        <v>2</v>
      </c>
      <c r="J12" s="218">
        <f t="shared" si="5"/>
        <v>3</v>
      </c>
      <c r="K12" s="219">
        <f t="shared" si="5"/>
        <v>2</v>
      </c>
      <c r="L12" s="220"/>
      <c r="M12" s="221">
        <f t="shared" ref="M12" si="6">SUM(M2:M11)</f>
        <v>38</v>
      </c>
      <c r="N12" s="187"/>
      <c r="O12" s="222" t="s">
        <v>10</v>
      </c>
      <c r="P12" s="223">
        <v>3</v>
      </c>
      <c r="Q12" s="224">
        <v>4</v>
      </c>
      <c r="R12" s="224">
        <v>4</v>
      </c>
      <c r="S12" s="224">
        <v>2</v>
      </c>
      <c r="T12" s="224">
        <v>1</v>
      </c>
      <c r="U12" s="224">
        <v>5</v>
      </c>
      <c r="V12" s="224">
        <v>6</v>
      </c>
      <c r="W12" s="224">
        <v>7</v>
      </c>
      <c r="X12" s="224">
        <v>1</v>
      </c>
      <c r="Y12" s="225" t="s">
        <v>16</v>
      </c>
      <c r="Z12" s="243">
        <f t="shared" si="1"/>
        <v>3.6666666666666665</v>
      </c>
      <c r="AA12" s="248">
        <f t="shared" si="2"/>
        <v>7</v>
      </c>
      <c r="AB12" s="335">
        <f t="shared" si="3"/>
        <v>2.1111111111111112</v>
      </c>
      <c r="AC12" s="338"/>
      <c r="AD12" s="310"/>
      <c r="AE12" s="310"/>
      <c r="AF12" s="249">
        <f t="shared" si="4"/>
        <v>3.6666666666666665</v>
      </c>
      <c r="AG12" s="321"/>
      <c r="AH12" s="305"/>
    </row>
    <row r="13" spans="1:34" ht="24" thickBot="1" x14ac:dyDescent="0.3">
      <c r="A13" s="226"/>
      <c r="B13" s="227"/>
      <c r="C13" s="227"/>
      <c r="D13" s="227"/>
      <c r="E13" s="227"/>
      <c r="F13" s="227"/>
      <c r="G13" s="227"/>
      <c r="H13" s="227"/>
      <c r="I13" s="227"/>
      <c r="J13" s="227"/>
      <c r="K13" s="227"/>
      <c r="L13" s="227"/>
      <c r="M13" s="227"/>
      <c r="N13" s="227"/>
      <c r="O13" s="228" t="s">
        <v>15</v>
      </c>
      <c r="P13" s="230">
        <f>MAX(P3:Y3)</f>
        <v>4</v>
      </c>
      <c r="Q13" s="229">
        <v>5</v>
      </c>
      <c r="R13" s="229">
        <v>6</v>
      </c>
      <c r="S13" s="230">
        <v>4</v>
      </c>
      <c r="T13" s="229">
        <v>6</v>
      </c>
      <c r="U13" s="229">
        <v>7</v>
      </c>
      <c r="V13" s="229">
        <v>6</v>
      </c>
      <c r="W13" s="231">
        <v>8</v>
      </c>
      <c r="X13" s="229">
        <v>5</v>
      </c>
      <c r="Y13" s="232">
        <v>7</v>
      </c>
    </row>
    <row r="14" spans="1:34" ht="24" thickBot="1" x14ac:dyDescent="0.4">
      <c r="A14" s="226"/>
      <c r="B14" s="227"/>
      <c r="C14" s="227"/>
      <c r="D14" s="227"/>
      <c r="E14" s="227"/>
      <c r="F14" s="227"/>
      <c r="G14" s="227"/>
      <c r="H14" s="227"/>
      <c r="I14" s="227"/>
      <c r="J14" s="227"/>
      <c r="K14" s="227"/>
      <c r="L14" s="227"/>
      <c r="M14" s="227"/>
      <c r="N14" s="227"/>
      <c r="O14" s="233" t="s">
        <v>27</v>
      </c>
      <c r="P14" s="343">
        <f>MIN(P13:Y13)</f>
        <v>4</v>
      </c>
      <c r="Q14" s="344"/>
      <c r="R14" s="344"/>
      <c r="S14" s="344"/>
      <c r="T14" s="344"/>
      <c r="U14" s="344"/>
      <c r="V14" s="344"/>
      <c r="W14" s="344"/>
      <c r="X14" s="344"/>
      <c r="Y14" s="345"/>
    </row>
    <row r="15" spans="1:34" ht="24" thickBot="1" x14ac:dyDescent="0.4">
      <c r="A15" s="226"/>
      <c r="B15" s="227"/>
      <c r="C15" s="227"/>
      <c r="D15" s="227"/>
      <c r="E15" s="227"/>
      <c r="F15" s="227"/>
      <c r="G15" s="227"/>
      <c r="H15" s="227"/>
      <c r="I15" s="227"/>
      <c r="J15" s="227"/>
      <c r="K15" s="227"/>
      <c r="L15" s="227"/>
      <c r="M15" s="227"/>
      <c r="N15" s="227"/>
      <c r="O15" s="234" t="s">
        <v>28</v>
      </c>
      <c r="P15" s="346">
        <f>MAX(P13:Y13)</f>
        <v>8</v>
      </c>
      <c r="Q15" s="347"/>
      <c r="R15" s="347"/>
      <c r="S15" s="347"/>
      <c r="T15" s="347"/>
      <c r="U15" s="347"/>
      <c r="V15" s="347"/>
      <c r="W15" s="347"/>
      <c r="X15" s="347"/>
      <c r="Y15" s="348"/>
      <c r="AA15" s="238">
        <v>2.1111111111111112</v>
      </c>
    </row>
    <row r="16" spans="1:34" ht="24" thickBot="1" x14ac:dyDescent="0.4">
      <c r="A16" s="226"/>
      <c r="B16" s="227"/>
      <c r="C16" s="227"/>
      <c r="D16" s="227"/>
      <c r="E16" s="227"/>
      <c r="F16" s="227"/>
      <c r="G16" s="227"/>
      <c r="H16" s="227"/>
      <c r="I16" s="227"/>
      <c r="J16" s="227"/>
      <c r="K16" s="227"/>
      <c r="L16" s="227"/>
      <c r="M16" s="227"/>
      <c r="N16" s="227"/>
      <c r="O16" s="235" t="s">
        <v>22</v>
      </c>
      <c r="P16" s="349" t="s">
        <v>32</v>
      </c>
      <c r="Q16" s="350"/>
      <c r="R16" s="350"/>
      <c r="S16" s="350"/>
      <c r="T16" s="350"/>
      <c r="U16" s="350"/>
      <c r="V16" s="350"/>
      <c r="W16" s="350"/>
      <c r="X16" s="350"/>
      <c r="Y16" s="351"/>
      <c r="AA16" s="238">
        <v>2.5555555555555554</v>
      </c>
    </row>
    <row r="17" spans="1:27" ht="18.75" customHeight="1" thickBot="1" x14ac:dyDescent="0.4">
      <c r="A17" s="226"/>
      <c r="B17" s="227"/>
      <c r="C17" s="227"/>
      <c r="D17" s="227"/>
      <c r="E17" s="227"/>
      <c r="F17" s="227"/>
      <c r="G17" s="227"/>
      <c r="H17" s="227"/>
      <c r="I17" s="227"/>
      <c r="J17" s="227"/>
      <c r="K17" s="227"/>
      <c r="L17" s="227"/>
      <c r="M17" s="227"/>
      <c r="N17" s="227"/>
      <c r="O17" s="236" t="s">
        <v>23</v>
      </c>
      <c r="P17" s="352" t="s">
        <v>33</v>
      </c>
      <c r="Q17" s="353"/>
      <c r="R17" s="353"/>
      <c r="S17" s="353"/>
      <c r="T17" s="353"/>
      <c r="U17" s="353"/>
      <c r="V17" s="353"/>
      <c r="W17" s="353"/>
      <c r="X17" s="353"/>
      <c r="Y17" s="354"/>
      <c r="AA17" s="238">
        <v>3</v>
      </c>
    </row>
    <row r="18" spans="1:27" ht="18.75" customHeight="1" thickBot="1" x14ac:dyDescent="0.3">
      <c r="A18" s="226"/>
      <c r="B18" s="227"/>
      <c r="C18" s="227"/>
      <c r="D18" s="227"/>
      <c r="E18" s="227"/>
      <c r="F18" s="227"/>
      <c r="G18" s="227"/>
      <c r="H18" s="227"/>
      <c r="I18" s="227"/>
      <c r="J18" s="227"/>
      <c r="K18" s="227"/>
      <c r="L18" s="227"/>
      <c r="M18" s="227"/>
      <c r="N18" s="227"/>
      <c r="O18" s="326" t="s">
        <v>24</v>
      </c>
      <c r="P18" s="250">
        <v>2.1111111111111112</v>
      </c>
      <c r="Q18" s="251">
        <v>2.5555555555555554</v>
      </c>
      <c r="R18" s="251">
        <v>3</v>
      </c>
      <c r="S18" s="251">
        <v>2.2222222222222223</v>
      </c>
      <c r="T18" s="251">
        <v>3.1111111111111112</v>
      </c>
      <c r="U18" s="251">
        <v>4.1111111111111107</v>
      </c>
      <c r="V18" s="251">
        <v>3.2222222222222223</v>
      </c>
      <c r="W18" s="251">
        <v>4.8888888888888893</v>
      </c>
      <c r="X18" s="251">
        <v>2.8888888888888888</v>
      </c>
      <c r="Y18" s="252">
        <v>3.6666666666666665</v>
      </c>
      <c r="AA18" s="238">
        <v>2.2222222222222223</v>
      </c>
    </row>
    <row r="19" spans="1:27" ht="18.75" customHeight="1" thickBot="1" x14ac:dyDescent="0.4">
      <c r="A19" s="226"/>
      <c r="B19" s="227"/>
      <c r="C19" s="227"/>
      <c r="D19" s="227"/>
      <c r="E19" s="227"/>
      <c r="F19" s="227"/>
      <c r="G19" s="227"/>
      <c r="H19" s="227"/>
      <c r="I19" s="227"/>
      <c r="J19" s="227"/>
      <c r="K19" s="227"/>
      <c r="L19" s="227"/>
      <c r="M19" s="227"/>
      <c r="N19" s="227"/>
      <c r="O19" s="327"/>
      <c r="P19" s="328">
        <f>MEDIAN(P18:Y18)</f>
        <v>3.0555555555555554</v>
      </c>
      <c r="Q19" s="329"/>
      <c r="R19" s="329"/>
      <c r="S19" s="329"/>
      <c r="T19" s="329"/>
      <c r="U19" s="329"/>
      <c r="V19" s="329"/>
      <c r="W19" s="329"/>
      <c r="X19" s="329"/>
      <c r="Y19" s="330"/>
      <c r="AA19" s="238">
        <v>3.1111111111111112</v>
      </c>
    </row>
    <row r="20" spans="1:27" ht="38.25" thickBot="1" x14ac:dyDescent="0.3">
      <c r="A20" s="226"/>
      <c r="B20" s="227"/>
      <c r="C20" s="227"/>
      <c r="D20" s="227"/>
      <c r="E20" s="227"/>
      <c r="F20" s="227"/>
      <c r="G20" s="227"/>
      <c r="H20" s="227"/>
      <c r="I20" s="227"/>
      <c r="J20" s="227"/>
      <c r="K20" s="227"/>
      <c r="L20" s="227"/>
      <c r="M20" s="227"/>
      <c r="N20" s="227"/>
      <c r="O20" s="237" t="s">
        <v>25</v>
      </c>
      <c r="P20" s="331">
        <f>AVERAGE(P18:Y18)</f>
        <v>3.177777777777778</v>
      </c>
      <c r="Q20" s="331"/>
      <c r="R20" s="331"/>
      <c r="S20" s="331"/>
      <c r="T20" s="331"/>
      <c r="U20" s="331"/>
      <c r="V20" s="331"/>
      <c r="W20" s="331"/>
      <c r="X20" s="331"/>
      <c r="Y20" s="332"/>
      <c r="AA20" s="238">
        <v>4.1111111111111107</v>
      </c>
    </row>
    <row r="21" spans="1:27" ht="18.75" customHeight="1" x14ac:dyDescent="0.25">
      <c r="A21" s="226"/>
      <c r="B21" s="227"/>
      <c r="C21" s="227"/>
      <c r="D21" s="227"/>
      <c r="E21" s="227"/>
      <c r="F21" s="227"/>
      <c r="G21" s="227"/>
      <c r="H21" s="227"/>
      <c r="I21" s="227"/>
      <c r="J21" s="227"/>
      <c r="K21" s="227"/>
      <c r="L21" s="227"/>
      <c r="M21" s="227"/>
      <c r="N21" s="227"/>
      <c r="AA21" s="238">
        <v>3.2222222222222223</v>
      </c>
    </row>
    <row r="22" spans="1:27" ht="18.75" customHeight="1" x14ac:dyDescent="0.25">
      <c r="A22" s="226"/>
      <c r="B22" s="227"/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AA22" s="238">
        <v>4.8888888888888893</v>
      </c>
    </row>
    <row r="23" spans="1:27" ht="18.75" customHeight="1" x14ac:dyDescent="0.25">
      <c r="A23" s="226"/>
      <c r="B23" s="227"/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AA23" s="238">
        <v>2.8888888888888888</v>
      </c>
    </row>
    <row r="24" spans="1:27" ht="18.75" customHeight="1" x14ac:dyDescent="0.25">
      <c r="A24" s="239"/>
      <c r="B24" s="240"/>
      <c r="C24" s="240"/>
      <c r="D24" s="240"/>
      <c r="E24" s="240"/>
      <c r="F24" s="240"/>
      <c r="G24" s="240"/>
      <c r="H24" s="240"/>
      <c r="I24" s="240"/>
      <c r="J24" s="240"/>
      <c r="K24" s="240"/>
      <c r="L24" s="240"/>
      <c r="M24" s="240"/>
      <c r="N24" s="240"/>
      <c r="AA24" s="238">
        <v>3.6666666666666665</v>
      </c>
    </row>
    <row r="25" spans="1:27" ht="18.75" customHeight="1" x14ac:dyDescent="0.25">
      <c r="A25" s="239"/>
      <c r="B25" s="240"/>
      <c r="C25" s="240"/>
      <c r="D25" s="240"/>
      <c r="E25" s="240"/>
      <c r="F25" s="240"/>
      <c r="G25" s="240"/>
      <c r="H25" s="240"/>
      <c r="I25" s="240"/>
      <c r="J25" s="240"/>
      <c r="K25" s="240"/>
      <c r="L25" s="240"/>
      <c r="M25" s="240"/>
      <c r="N25" s="240"/>
    </row>
    <row r="26" spans="1:27" ht="18.75" customHeight="1" x14ac:dyDescent="0.25">
      <c r="A26" s="239"/>
      <c r="B26" s="240"/>
      <c r="C26" s="240"/>
      <c r="D26" s="240"/>
      <c r="E26" s="240"/>
      <c r="F26" s="240"/>
      <c r="G26" s="240"/>
      <c r="H26" s="240"/>
      <c r="I26" s="240"/>
      <c r="J26" s="240"/>
      <c r="K26" s="240"/>
      <c r="L26" s="240"/>
      <c r="M26" s="240"/>
      <c r="N26" s="240"/>
    </row>
    <row r="27" spans="1:27" ht="18.75" customHeight="1" x14ac:dyDescent="0.25">
      <c r="A27" s="239"/>
      <c r="B27" s="240"/>
      <c r="C27" s="240"/>
      <c r="D27" s="240"/>
      <c r="E27" s="240"/>
      <c r="F27" s="240"/>
      <c r="G27" s="240"/>
      <c r="H27" s="240"/>
      <c r="I27" s="240"/>
      <c r="J27" s="240"/>
      <c r="K27" s="240"/>
      <c r="L27" s="240"/>
      <c r="M27" s="240"/>
      <c r="N27" s="240"/>
    </row>
    <row r="28" spans="1:27" ht="18.75" customHeight="1" x14ac:dyDescent="0.25">
      <c r="A28" s="239"/>
      <c r="B28" s="240"/>
      <c r="C28" s="240"/>
      <c r="D28" s="240"/>
      <c r="E28" s="240"/>
      <c r="F28" s="240"/>
      <c r="G28" s="240"/>
      <c r="H28" s="240"/>
      <c r="I28" s="240"/>
      <c r="J28" s="240"/>
      <c r="K28" s="240"/>
      <c r="L28" s="240"/>
      <c r="M28" s="240"/>
      <c r="N28" s="240"/>
    </row>
    <row r="29" spans="1:27" ht="18.75" customHeight="1" x14ac:dyDescent="0.25">
      <c r="A29" s="239"/>
      <c r="B29" s="240"/>
      <c r="C29" s="240"/>
      <c r="D29" s="240"/>
      <c r="E29" s="240"/>
      <c r="F29" s="240"/>
      <c r="G29" s="240"/>
      <c r="H29" s="240"/>
      <c r="I29" s="240"/>
      <c r="J29" s="240"/>
      <c r="K29" s="240"/>
      <c r="L29" s="240"/>
      <c r="M29" s="240"/>
      <c r="N29" s="240"/>
    </row>
    <row r="30" spans="1:27" ht="18.75" customHeight="1" x14ac:dyDescent="0.25">
      <c r="A30" s="239"/>
      <c r="B30" s="240"/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0"/>
    </row>
    <row r="31" spans="1:27" ht="18.75" customHeight="1" x14ac:dyDescent="0.25">
      <c r="A31" s="239"/>
      <c r="B31" s="240"/>
      <c r="C31" s="240"/>
      <c r="D31" s="240"/>
      <c r="E31" s="240"/>
      <c r="F31" s="240"/>
      <c r="G31" s="240"/>
      <c r="H31" s="240"/>
      <c r="I31" s="240"/>
      <c r="J31" s="240"/>
      <c r="K31" s="240"/>
      <c r="L31" s="240"/>
      <c r="M31" s="240"/>
      <c r="N31" s="240"/>
    </row>
    <row r="32" spans="1:27" ht="18.75" customHeight="1" x14ac:dyDescent="0.25">
      <c r="A32" s="239"/>
      <c r="B32" s="240"/>
      <c r="C32" s="240"/>
      <c r="D32" s="240"/>
      <c r="E32" s="240"/>
      <c r="F32" s="240"/>
      <c r="G32" s="240"/>
      <c r="H32" s="240"/>
      <c r="I32" s="240"/>
      <c r="J32" s="240"/>
      <c r="K32" s="240"/>
      <c r="L32" s="240"/>
      <c r="M32" s="240"/>
      <c r="N32" s="240"/>
    </row>
    <row r="33" spans="1:14" ht="18.75" customHeight="1" x14ac:dyDescent="0.25">
      <c r="A33" s="239"/>
      <c r="B33" s="240"/>
      <c r="C33" s="240"/>
      <c r="D33" s="240"/>
      <c r="E33" s="240"/>
      <c r="F33" s="240"/>
      <c r="G33" s="240"/>
      <c r="H33" s="240"/>
      <c r="I33" s="240"/>
      <c r="J33" s="240"/>
      <c r="K33" s="240"/>
      <c r="L33" s="240"/>
      <c r="M33" s="240"/>
      <c r="N33" s="240"/>
    </row>
    <row r="34" spans="1:14" ht="18.75" customHeight="1" x14ac:dyDescent="0.25">
      <c r="A34" s="239"/>
      <c r="B34" s="240"/>
      <c r="C34" s="240"/>
      <c r="D34" s="240"/>
      <c r="E34" s="240"/>
      <c r="F34" s="240"/>
      <c r="G34" s="240"/>
      <c r="H34" s="240"/>
      <c r="I34" s="240"/>
      <c r="J34" s="240"/>
      <c r="K34" s="240"/>
      <c r="L34" s="240"/>
      <c r="M34" s="240"/>
      <c r="N34" s="240"/>
    </row>
    <row r="35" spans="1:14" ht="18.75" customHeight="1" x14ac:dyDescent="0.25">
      <c r="A35" s="239"/>
      <c r="B35" s="240"/>
      <c r="C35" s="240"/>
      <c r="D35" s="240"/>
      <c r="E35" s="240"/>
      <c r="F35" s="240"/>
      <c r="G35" s="240"/>
      <c r="H35" s="240"/>
      <c r="I35" s="240"/>
      <c r="J35" s="240"/>
      <c r="K35" s="240"/>
      <c r="L35" s="240"/>
      <c r="M35" s="240"/>
      <c r="N35" s="240"/>
    </row>
    <row r="36" spans="1:14" ht="18.75" customHeight="1" x14ac:dyDescent="0.25">
      <c r="A36" s="239"/>
      <c r="B36" s="240"/>
      <c r="C36" s="240"/>
      <c r="D36" s="240"/>
      <c r="E36" s="240"/>
      <c r="F36" s="240"/>
      <c r="G36" s="240"/>
      <c r="H36" s="240"/>
      <c r="I36" s="240"/>
      <c r="J36" s="240"/>
      <c r="K36" s="240"/>
      <c r="L36" s="240"/>
      <c r="M36" s="240"/>
      <c r="N36" s="240"/>
    </row>
    <row r="37" spans="1:14" ht="18.75" customHeight="1" x14ac:dyDescent="0.25">
      <c r="A37" s="239"/>
      <c r="B37" s="240"/>
      <c r="C37" s="240"/>
      <c r="D37" s="240"/>
      <c r="E37" s="240"/>
      <c r="F37" s="240"/>
      <c r="G37" s="240"/>
      <c r="H37" s="240"/>
      <c r="I37" s="240"/>
      <c r="J37" s="240"/>
      <c r="K37" s="240"/>
      <c r="L37" s="240"/>
      <c r="M37" s="240"/>
      <c r="N37" s="240"/>
    </row>
    <row r="38" spans="1:14" ht="18.75" customHeight="1" x14ac:dyDescent="0.25">
      <c r="A38" s="239"/>
      <c r="B38" s="240"/>
      <c r="C38" s="240"/>
      <c r="D38" s="240"/>
      <c r="E38" s="240"/>
      <c r="F38" s="240"/>
      <c r="G38" s="240"/>
      <c r="H38" s="240"/>
      <c r="I38" s="240"/>
      <c r="J38" s="240"/>
      <c r="K38" s="240"/>
      <c r="L38" s="240"/>
      <c r="M38" s="240"/>
      <c r="N38" s="240"/>
    </row>
    <row r="39" spans="1:14" ht="18.75" customHeight="1" x14ac:dyDescent="0.25">
      <c r="A39" s="239"/>
      <c r="B39" s="240"/>
      <c r="C39" s="240"/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</row>
    <row r="40" spans="1:14" ht="18.75" customHeight="1" x14ac:dyDescent="0.25">
      <c r="A40" s="239"/>
      <c r="B40" s="240"/>
      <c r="C40" s="240"/>
      <c r="D40" s="240"/>
      <c r="E40" s="240"/>
      <c r="F40" s="240"/>
      <c r="G40" s="240"/>
      <c r="H40" s="240"/>
      <c r="I40" s="240"/>
      <c r="J40" s="240"/>
      <c r="K40" s="240"/>
      <c r="L40" s="240"/>
      <c r="M40" s="240"/>
      <c r="N40" s="240"/>
    </row>
    <row r="41" spans="1:14" ht="18.75" customHeight="1" x14ac:dyDescent="0.25">
      <c r="A41" s="239"/>
      <c r="B41" s="240"/>
      <c r="C41" s="240"/>
      <c r="D41" s="240"/>
      <c r="E41" s="240"/>
      <c r="F41" s="240"/>
      <c r="G41" s="240"/>
      <c r="H41" s="240"/>
      <c r="I41" s="240"/>
      <c r="J41" s="240"/>
      <c r="K41" s="240"/>
      <c r="L41" s="240"/>
      <c r="M41" s="240"/>
      <c r="N41" s="240"/>
    </row>
    <row r="42" spans="1:14" ht="18.75" customHeight="1" x14ac:dyDescent="0.25">
      <c r="A42" s="239"/>
      <c r="B42" s="240"/>
      <c r="C42" s="240"/>
      <c r="D42" s="240"/>
      <c r="E42" s="240"/>
      <c r="F42" s="240"/>
      <c r="G42" s="240"/>
      <c r="H42" s="240"/>
      <c r="I42" s="240"/>
      <c r="J42" s="240"/>
      <c r="K42" s="240"/>
      <c r="L42" s="240"/>
      <c r="M42" s="240"/>
      <c r="N42" s="240"/>
    </row>
    <row r="43" spans="1:14" ht="18.75" customHeight="1" x14ac:dyDescent="0.25">
      <c r="A43" s="239"/>
      <c r="B43" s="240"/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40"/>
    </row>
    <row r="44" spans="1:14" ht="18.75" customHeight="1" x14ac:dyDescent="0.25">
      <c r="A44" s="239"/>
      <c r="B44" s="240"/>
      <c r="C44" s="240"/>
      <c r="D44" s="240"/>
      <c r="E44" s="240"/>
      <c r="F44" s="240"/>
      <c r="G44" s="240"/>
      <c r="H44" s="240"/>
      <c r="I44" s="240"/>
      <c r="J44" s="240"/>
      <c r="K44" s="240"/>
      <c r="L44" s="240"/>
      <c r="M44" s="240"/>
      <c r="N44" s="240"/>
    </row>
    <row r="45" spans="1:14" ht="18.75" customHeight="1" x14ac:dyDescent="0.25">
      <c r="A45" s="239"/>
      <c r="B45" s="240"/>
      <c r="C45" s="240"/>
      <c r="D45" s="240"/>
      <c r="E45" s="240"/>
      <c r="F45" s="240"/>
      <c r="G45" s="240"/>
      <c r="H45" s="240"/>
      <c r="I45" s="240"/>
      <c r="J45" s="240"/>
      <c r="K45" s="240"/>
      <c r="L45" s="240"/>
      <c r="M45" s="240"/>
      <c r="N45" s="240"/>
    </row>
    <row r="46" spans="1:14" ht="18.75" customHeight="1" x14ac:dyDescent="0.25">
      <c r="A46" s="239"/>
      <c r="B46" s="240"/>
      <c r="C46" s="240"/>
      <c r="D46" s="240"/>
      <c r="E46" s="240"/>
      <c r="F46" s="240"/>
      <c r="G46" s="240"/>
      <c r="H46" s="240"/>
      <c r="I46" s="240"/>
      <c r="J46" s="240"/>
      <c r="K46" s="240"/>
      <c r="L46" s="240"/>
      <c r="M46" s="240"/>
      <c r="N46" s="240"/>
    </row>
    <row r="47" spans="1:14" ht="18.75" customHeight="1" x14ac:dyDescent="0.25">
      <c r="A47" s="239"/>
      <c r="B47" s="240"/>
      <c r="C47" s="240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</row>
    <row r="48" spans="1:14" ht="18.75" customHeight="1" x14ac:dyDescent="0.25">
      <c r="A48" s="239"/>
      <c r="B48" s="240"/>
      <c r="C48" s="240"/>
      <c r="D48" s="240"/>
      <c r="E48" s="240"/>
      <c r="F48" s="240"/>
      <c r="G48" s="240"/>
      <c r="H48" s="240"/>
      <c r="I48" s="240"/>
      <c r="J48" s="240"/>
      <c r="K48" s="240"/>
      <c r="L48" s="240"/>
      <c r="M48" s="240"/>
      <c r="N48" s="240"/>
    </row>
    <row r="49" spans="1:14" ht="18.75" customHeight="1" x14ac:dyDescent="0.25">
      <c r="A49" s="239"/>
      <c r="B49" s="240"/>
      <c r="C49" s="240"/>
      <c r="D49" s="240"/>
      <c r="E49" s="240"/>
      <c r="F49" s="240"/>
      <c r="G49" s="240"/>
      <c r="H49" s="240"/>
      <c r="I49" s="240"/>
      <c r="J49" s="240"/>
      <c r="K49" s="240"/>
      <c r="L49" s="240"/>
      <c r="M49" s="240"/>
      <c r="N49" s="240"/>
    </row>
    <row r="50" spans="1:14" ht="18.75" customHeight="1" x14ac:dyDescent="0.25">
      <c r="A50" s="239"/>
      <c r="B50" s="240"/>
      <c r="C50" s="240"/>
      <c r="D50" s="240"/>
      <c r="E50" s="240"/>
      <c r="F50" s="240"/>
      <c r="G50" s="240"/>
      <c r="H50" s="240"/>
      <c r="I50" s="240"/>
      <c r="J50" s="240"/>
      <c r="K50" s="240"/>
      <c r="L50" s="240"/>
      <c r="M50" s="240"/>
      <c r="N50" s="240"/>
    </row>
    <row r="51" spans="1:14" ht="18.75" customHeight="1" x14ac:dyDescent="0.25">
      <c r="A51" s="239"/>
      <c r="B51" s="240"/>
      <c r="C51" s="240"/>
      <c r="D51" s="240"/>
      <c r="E51" s="240"/>
      <c r="F51" s="240"/>
      <c r="G51" s="240"/>
      <c r="H51" s="240"/>
      <c r="I51" s="240"/>
      <c r="J51" s="240"/>
      <c r="K51" s="240"/>
      <c r="L51" s="240"/>
      <c r="M51" s="240"/>
      <c r="N51" s="240"/>
    </row>
    <row r="52" spans="1:14" ht="18.75" customHeight="1" x14ac:dyDescent="0.25">
      <c r="A52" s="239"/>
      <c r="B52" s="240"/>
      <c r="C52" s="240"/>
      <c r="D52" s="240"/>
      <c r="E52" s="240"/>
      <c r="F52" s="240"/>
      <c r="G52" s="240"/>
      <c r="H52" s="240"/>
      <c r="I52" s="240"/>
      <c r="J52" s="240"/>
      <c r="K52" s="240"/>
      <c r="L52" s="240"/>
      <c r="M52" s="240"/>
      <c r="N52" s="240"/>
    </row>
    <row r="53" spans="1:14" ht="18.75" customHeight="1" x14ac:dyDescent="0.25">
      <c r="A53" s="239"/>
      <c r="B53" s="240"/>
      <c r="C53" s="240"/>
      <c r="D53" s="240"/>
      <c r="E53" s="240"/>
      <c r="F53" s="240"/>
      <c r="G53" s="240"/>
      <c r="H53" s="240"/>
      <c r="I53" s="240"/>
      <c r="J53" s="240"/>
      <c r="K53" s="240"/>
      <c r="L53" s="240"/>
      <c r="M53" s="240"/>
      <c r="N53" s="240"/>
    </row>
    <row r="54" spans="1:14" ht="18.75" customHeight="1" x14ac:dyDescent="0.25">
      <c r="A54" s="239"/>
      <c r="B54" s="240"/>
      <c r="C54" s="240"/>
      <c r="D54" s="240"/>
      <c r="E54" s="240"/>
      <c r="F54" s="240"/>
      <c r="G54" s="240"/>
      <c r="H54" s="240"/>
      <c r="I54" s="240"/>
      <c r="J54" s="240"/>
      <c r="K54" s="240"/>
      <c r="L54" s="240"/>
      <c r="M54" s="240"/>
      <c r="N54" s="240"/>
    </row>
    <row r="55" spans="1:14" ht="18.75" customHeight="1" x14ac:dyDescent="0.25">
      <c r="A55" s="239"/>
      <c r="B55" s="240"/>
      <c r="C55" s="240"/>
      <c r="D55" s="240"/>
      <c r="E55" s="240"/>
      <c r="F55" s="240"/>
      <c r="G55" s="240"/>
      <c r="H55" s="240"/>
      <c r="I55" s="240"/>
      <c r="J55" s="240"/>
      <c r="K55" s="240"/>
      <c r="L55" s="240"/>
      <c r="M55" s="240"/>
      <c r="N55" s="240"/>
    </row>
    <row r="56" spans="1:14" ht="18.75" customHeight="1" x14ac:dyDescent="0.25">
      <c r="A56" s="239"/>
      <c r="B56" s="240"/>
      <c r="C56" s="240"/>
      <c r="D56" s="240"/>
      <c r="E56" s="240"/>
      <c r="F56" s="240"/>
      <c r="G56" s="240"/>
      <c r="H56" s="240"/>
      <c r="I56" s="240"/>
      <c r="J56" s="240"/>
      <c r="K56" s="240"/>
      <c r="L56" s="240"/>
      <c r="M56" s="240"/>
      <c r="N56" s="240"/>
    </row>
    <row r="57" spans="1:14" ht="18.75" customHeight="1" x14ac:dyDescent="0.25">
      <c r="A57" s="239"/>
      <c r="B57" s="240"/>
      <c r="C57" s="240"/>
      <c r="D57" s="240"/>
      <c r="E57" s="240"/>
      <c r="F57" s="240"/>
      <c r="G57" s="240"/>
      <c r="H57" s="240"/>
      <c r="I57" s="240"/>
      <c r="J57" s="240"/>
      <c r="K57" s="240"/>
      <c r="L57" s="240"/>
      <c r="M57" s="240"/>
      <c r="N57" s="240"/>
    </row>
    <row r="58" spans="1:14" ht="18.75" customHeight="1" x14ac:dyDescent="0.25">
      <c r="A58" s="239"/>
      <c r="B58" s="240"/>
      <c r="C58" s="240"/>
      <c r="D58" s="240"/>
      <c r="E58" s="240"/>
      <c r="F58" s="240"/>
      <c r="G58" s="240"/>
      <c r="H58" s="240"/>
      <c r="I58" s="240"/>
      <c r="J58" s="240"/>
      <c r="K58" s="240"/>
      <c r="L58" s="240"/>
      <c r="M58" s="240"/>
      <c r="N58" s="240"/>
    </row>
    <row r="59" spans="1:14" ht="18.75" customHeight="1" x14ac:dyDescent="0.25">
      <c r="A59" s="239"/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  <c r="M59" s="240"/>
      <c r="N59" s="240"/>
    </row>
    <row r="60" spans="1:14" ht="18.75" customHeight="1" x14ac:dyDescent="0.25">
      <c r="A60" s="239"/>
      <c r="B60" s="240"/>
      <c r="C60" s="240"/>
      <c r="D60" s="240"/>
      <c r="E60" s="240"/>
      <c r="F60" s="240"/>
      <c r="G60" s="240"/>
      <c r="H60" s="240"/>
      <c r="I60" s="240"/>
      <c r="J60" s="240"/>
      <c r="K60" s="240"/>
      <c r="L60" s="240"/>
      <c r="M60" s="240"/>
      <c r="N60" s="240"/>
    </row>
    <row r="61" spans="1:14" ht="18.75" customHeight="1" x14ac:dyDescent="0.25">
      <c r="A61" s="239"/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  <c r="M61" s="240"/>
      <c r="N61" s="240"/>
    </row>
    <row r="62" spans="1:14" ht="18.75" customHeight="1" x14ac:dyDescent="0.25">
      <c r="A62" s="239"/>
      <c r="B62" s="240"/>
      <c r="C62" s="240"/>
      <c r="D62" s="240"/>
      <c r="E62" s="240"/>
      <c r="F62" s="240"/>
      <c r="G62" s="240"/>
      <c r="H62" s="240"/>
      <c r="I62" s="240"/>
      <c r="J62" s="240"/>
      <c r="K62" s="240"/>
      <c r="L62" s="240"/>
      <c r="M62" s="240"/>
      <c r="N62" s="240"/>
    </row>
    <row r="63" spans="1:14" ht="18.75" customHeight="1" x14ac:dyDescent="0.25">
      <c r="A63" s="239"/>
      <c r="B63" s="240"/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40"/>
      <c r="N63" s="240"/>
    </row>
    <row r="64" spans="1:14" ht="18.75" customHeight="1" x14ac:dyDescent="0.25">
      <c r="A64" s="239"/>
      <c r="B64" s="240"/>
      <c r="C64" s="240"/>
      <c r="D64" s="240"/>
      <c r="E64" s="240"/>
      <c r="F64" s="240"/>
      <c r="G64" s="240"/>
      <c r="H64" s="240"/>
      <c r="I64" s="240"/>
      <c r="J64" s="240"/>
      <c r="K64" s="240"/>
      <c r="L64" s="240"/>
      <c r="M64" s="240"/>
      <c r="N64" s="240"/>
    </row>
    <row r="65" spans="1:14" ht="18.75" customHeight="1" x14ac:dyDescent="0.25">
      <c r="A65" s="239"/>
      <c r="B65" s="240"/>
      <c r="C65" s="240"/>
      <c r="D65" s="240"/>
      <c r="E65" s="240"/>
      <c r="F65" s="240"/>
      <c r="G65" s="240"/>
      <c r="H65" s="240"/>
      <c r="I65" s="240"/>
      <c r="J65" s="240"/>
      <c r="K65" s="240"/>
      <c r="L65" s="240"/>
      <c r="M65" s="240"/>
      <c r="N65" s="240"/>
    </row>
    <row r="66" spans="1:14" ht="18.75" customHeight="1" x14ac:dyDescent="0.25">
      <c r="A66" s="239"/>
      <c r="B66" s="240"/>
      <c r="C66" s="240"/>
      <c r="D66" s="240"/>
      <c r="E66" s="240"/>
      <c r="F66" s="240"/>
      <c r="G66" s="240"/>
      <c r="H66" s="240"/>
      <c r="I66" s="240"/>
      <c r="J66" s="240"/>
      <c r="K66" s="240"/>
      <c r="L66" s="240"/>
      <c r="M66" s="240"/>
      <c r="N66" s="240"/>
    </row>
    <row r="67" spans="1:14" ht="18.75" customHeight="1" x14ac:dyDescent="0.25">
      <c r="A67" s="239"/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</row>
    <row r="68" spans="1:14" ht="18.75" customHeight="1" x14ac:dyDescent="0.25">
      <c r="A68" s="239"/>
      <c r="B68" s="240"/>
      <c r="C68" s="240"/>
      <c r="D68" s="240"/>
      <c r="E68" s="240"/>
      <c r="F68" s="240"/>
      <c r="G68" s="240"/>
      <c r="H68" s="240"/>
      <c r="I68" s="240"/>
      <c r="J68" s="240"/>
      <c r="K68" s="240"/>
      <c r="L68" s="240"/>
      <c r="M68" s="240"/>
      <c r="N68" s="240"/>
    </row>
    <row r="69" spans="1:14" ht="18.75" customHeight="1" x14ac:dyDescent="0.25">
      <c r="A69" s="239"/>
      <c r="B69" s="240"/>
      <c r="C69" s="240"/>
      <c r="D69" s="240"/>
      <c r="E69" s="240"/>
      <c r="F69" s="240"/>
      <c r="G69" s="240"/>
      <c r="H69" s="240"/>
      <c r="I69" s="240"/>
      <c r="J69" s="240"/>
      <c r="K69" s="240"/>
      <c r="L69" s="240"/>
      <c r="M69" s="240"/>
      <c r="N69" s="240"/>
    </row>
    <row r="70" spans="1:14" ht="18.75" customHeight="1" x14ac:dyDescent="0.25">
      <c r="A70" s="239"/>
      <c r="B70" s="240"/>
      <c r="C70" s="240"/>
      <c r="D70" s="240"/>
      <c r="E70" s="240"/>
      <c r="F70" s="240"/>
      <c r="G70" s="240"/>
      <c r="H70" s="240"/>
      <c r="I70" s="240"/>
      <c r="J70" s="240"/>
      <c r="K70" s="240"/>
      <c r="L70" s="240"/>
      <c r="M70" s="240"/>
      <c r="N70" s="240"/>
    </row>
    <row r="71" spans="1:14" ht="18.75" customHeight="1" x14ac:dyDescent="0.25">
      <c r="A71" s="239"/>
      <c r="B71" s="240"/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40"/>
    </row>
    <row r="72" spans="1:14" ht="18.75" customHeight="1" x14ac:dyDescent="0.25">
      <c r="A72" s="239"/>
      <c r="B72" s="240"/>
      <c r="C72" s="240"/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0"/>
    </row>
    <row r="73" spans="1:14" ht="18.75" customHeight="1" x14ac:dyDescent="0.25">
      <c r="A73" s="239"/>
      <c r="B73" s="240"/>
      <c r="C73" s="240"/>
      <c r="D73" s="240"/>
      <c r="E73" s="240"/>
      <c r="F73" s="240"/>
      <c r="G73" s="240"/>
      <c r="H73" s="240"/>
      <c r="I73" s="240"/>
      <c r="J73" s="240"/>
      <c r="K73" s="240"/>
      <c r="L73" s="240"/>
      <c r="M73" s="240"/>
      <c r="N73" s="240"/>
    </row>
    <row r="74" spans="1:14" ht="18.75" customHeight="1" x14ac:dyDescent="0.25">
      <c r="A74" s="239"/>
      <c r="B74" s="240"/>
      <c r="C74" s="240"/>
      <c r="D74" s="240"/>
      <c r="E74" s="240"/>
      <c r="F74" s="240"/>
      <c r="G74" s="240"/>
      <c r="H74" s="240"/>
      <c r="I74" s="240"/>
      <c r="J74" s="240"/>
      <c r="K74" s="240"/>
      <c r="L74" s="240"/>
      <c r="M74" s="240"/>
      <c r="N74" s="240"/>
    </row>
    <row r="75" spans="1:14" ht="18.75" customHeight="1" x14ac:dyDescent="0.25">
      <c r="A75" s="239"/>
      <c r="B75" s="240"/>
      <c r="C75" s="240"/>
      <c r="D75" s="240"/>
      <c r="E75" s="240"/>
      <c r="F75" s="240"/>
      <c r="G75" s="240"/>
      <c r="H75" s="240"/>
      <c r="I75" s="240"/>
      <c r="J75" s="240"/>
      <c r="K75" s="240"/>
      <c r="L75" s="240"/>
      <c r="M75" s="240"/>
      <c r="N75" s="240"/>
    </row>
    <row r="76" spans="1:14" ht="18.75" customHeight="1" x14ac:dyDescent="0.25">
      <c r="A76" s="239"/>
      <c r="B76" s="240"/>
      <c r="C76" s="240"/>
      <c r="D76" s="240"/>
      <c r="E76" s="240"/>
      <c r="F76" s="240"/>
      <c r="G76" s="240"/>
      <c r="H76" s="240"/>
      <c r="I76" s="240"/>
      <c r="J76" s="240"/>
      <c r="K76" s="240"/>
      <c r="L76" s="240"/>
      <c r="M76" s="240"/>
      <c r="N76" s="240"/>
    </row>
    <row r="77" spans="1:14" ht="18.75" customHeight="1" x14ac:dyDescent="0.25">
      <c r="A77" s="239"/>
      <c r="B77" s="240"/>
      <c r="C77" s="240"/>
      <c r="D77" s="240"/>
      <c r="E77" s="240"/>
      <c r="F77" s="240"/>
      <c r="G77" s="240"/>
      <c r="H77" s="240"/>
      <c r="I77" s="240"/>
      <c r="J77" s="240"/>
      <c r="K77" s="240"/>
      <c r="L77" s="240"/>
      <c r="M77" s="240"/>
      <c r="N77" s="240"/>
    </row>
    <row r="78" spans="1:14" ht="18.75" customHeight="1" x14ac:dyDescent="0.25">
      <c r="A78" s="239"/>
      <c r="B78" s="240"/>
      <c r="C78" s="240"/>
      <c r="D78" s="240"/>
      <c r="E78" s="240"/>
      <c r="F78" s="240"/>
      <c r="G78" s="240"/>
      <c r="H78" s="240"/>
      <c r="I78" s="240"/>
      <c r="J78" s="240"/>
      <c r="K78" s="240"/>
      <c r="L78" s="240"/>
      <c r="M78" s="240"/>
      <c r="N78" s="240"/>
    </row>
    <row r="79" spans="1:14" ht="18.75" customHeight="1" x14ac:dyDescent="0.25">
      <c r="A79" s="239"/>
      <c r="B79" s="240"/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40"/>
      <c r="N79" s="240"/>
    </row>
    <row r="80" spans="1:14" ht="18.75" customHeight="1" x14ac:dyDescent="0.25">
      <c r="A80" s="239"/>
      <c r="B80" s="240"/>
      <c r="C80" s="240"/>
      <c r="D80" s="240"/>
      <c r="E80" s="240"/>
      <c r="F80" s="240"/>
      <c r="G80" s="240"/>
      <c r="H80" s="240"/>
      <c r="I80" s="240"/>
      <c r="J80" s="240"/>
      <c r="K80" s="240"/>
      <c r="L80" s="240"/>
      <c r="M80" s="240"/>
      <c r="N80" s="240"/>
    </row>
    <row r="81" spans="1:14" ht="18.75" customHeight="1" x14ac:dyDescent="0.25">
      <c r="A81" s="239"/>
      <c r="B81" s="240"/>
      <c r="C81" s="240"/>
      <c r="D81" s="240"/>
      <c r="E81" s="240"/>
      <c r="F81" s="240"/>
      <c r="G81" s="240"/>
      <c r="H81" s="240"/>
      <c r="I81" s="240"/>
      <c r="J81" s="240"/>
      <c r="K81" s="240"/>
      <c r="L81" s="240"/>
      <c r="M81" s="240"/>
      <c r="N81" s="240"/>
    </row>
    <row r="82" spans="1:14" ht="18.75" customHeight="1" x14ac:dyDescent="0.25">
      <c r="A82" s="239"/>
      <c r="B82" s="240"/>
      <c r="C82" s="240"/>
      <c r="D82" s="240"/>
      <c r="E82" s="240"/>
      <c r="F82" s="240"/>
      <c r="G82" s="240"/>
      <c r="H82" s="240"/>
      <c r="I82" s="240"/>
      <c r="J82" s="240"/>
      <c r="K82" s="240"/>
      <c r="L82" s="240"/>
      <c r="M82" s="240"/>
      <c r="N82" s="240"/>
    </row>
    <row r="83" spans="1:14" ht="18.75" customHeight="1" x14ac:dyDescent="0.25">
      <c r="A83" s="239"/>
      <c r="B83" s="240"/>
      <c r="C83" s="240"/>
      <c r="D83" s="240"/>
      <c r="E83" s="240"/>
      <c r="F83" s="240"/>
      <c r="G83" s="240"/>
      <c r="H83" s="240"/>
      <c r="I83" s="240"/>
      <c r="J83" s="240"/>
      <c r="K83" s="240"/>
      <c r="L83" s="240"/>
      <c r="M83" s="240"/>
      <c r="N83" s="240"/>
    </row>
    <row r="84" spans="1:14" ht="18.75" customHeight="1" x14ac:dyDescent="0.25">
      <c r="A84" s="239"/>
      <c r="B84" s="240"/>
      <c r="C84" s="240"/>
      <c r="D84" s="240"/>
      <c r="E84" s="240"/>
      <c r="F84" s="240"/>
      <c r="G84" s="240"/>
      <c r="H84" s="240"/>
      <c r="I84" s="240"/>
      <c r="J84" s="240"/>
      <c r="K84" s="240"/>
      <c r="L84" s="240"/>
      <c r="M84" s="240"/>
      <c r="N84" s="240"/>
    </row>
    <row r="85" spans="1:14" ht="18.75" customHeight="1" x14ac:dyDescent="0.25">
      <c r="A85" s="239"/>
      <c r="B85" s="240"/>
      <c r="C85" s="240"/>
      <c r="D85" s="240"/>
      <c r="E85" s="240"/>
      <c r="F85" s="240"/>
      <c r="G85" s="240"/>
      <c r="H85" s="240"/>
      <c r="I85" s="240"/>
      <c r="J85" s="240"/>
      <c r="K85" s="240"/>
      <c r="L85" s="240"/>
      <c r="M85" s="240"/>
      <c r="N85" s="240"/>
    </row>
    <row r="86" spans="1:14" ht="18.75" customHeight="1" x14ac:dyDescent="0.25">
      <c r="A86" s="239"/>
      <c r="B86" s="240"/>
      <c r="C86" s="240"/>
      <c r="D86" s="240"/>
      <c r="E86" s="240"/>
      <c r="F86" s="240"/>
      <c r="G86" s="240"/>
      <c r="H86" s="240"/>
      <c r="I86" s="240"/>
      <c r="J86" s="240"/>
      <c r="K86" s="240"/>
      <c r="L86" s="240"/>
      <c r="M86" s="240"/>
      <c r="N86" s="240"/>
    </row>
    <row r="87" spans="1:14" ht="18.75" customHeight="1" x14ac:dyDescent="0.25">
      <c r="A87" s="239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</row>
    <row r="88" spans="1:14" ht="18.75" customHeight="1" x14ac:dyDescent="0.25">
      <c r="A88" s="239"/>
      <c r="B88" s="240"/>
      <c r="C88" s="240"/>
      <c r="D88" s="240"/>
      <c r="E88" s="240"/>
      <c r="F88" s="240"/>
      <c r="G88" s="240"/>
      <c r="H88" s="240"/>
      <c r="I88" s="240"/>
      <c r="J88" s="240"/>
      <c r="K88" s="240"/>
      <c r="L88" s="240"/>
      <c r="M88" s="240"/>
      <c r="N88" s="240"/>
    </row>
    <row r="89" spans="1:14" ht="18.75" customHeight="1" x14ac:dyDescent="0.25">
      <c r="A89" s="239"/>
      <c r="B89" s="240"/>
      <c r="C89" s="240"/>
      <c r="D89" s="240"/>
      <c r="E89" s="240"/>
      <c r="F89" s="240"/>
      <c r="G89" s="240"/>
      <c r="H89" s="240"/>
      <c r="I89" s="240"/>
      <c r="J89" s="240"/>
      <c r="K89" s="240"/>
      <c r="L89" s="240"/>
      <c r="M89" s="240"/>
      <c r="N89" s="240"/>
    </row>
    <row r="90" spans="1:14" ht="18.75" customHeight="1" x14ac:dyDescent="0.25">
      <c r="A90" s="239"/>
      <c r="B90" s="240"/>
      <c r="C90" s="240"/>
      <c r="D90" s="240"/>
      <c r="E90" s="240"/>
      <c r="F90" s="240"/>
      <c r="G90" s="240"/>
      <c r="H90" s="240"/>
      <c r="I90" s="240"/>
      <c r="J90" s="240"/>
      <c r="K90" s="240"/>
      <c r="L90" s="240"/>
      <c r="M90" s="240"/>
      <c r="N90" s="240"/>
    </row>
    <row r="91" spans="1:14" ht="18.75" customHeight="1" x14ac:dyDescent="0.25">
      <c r="A91" s="239"/>
      <c r="B91" s="240"/>
      <c r="C91" s="240"/>
      <c r="D91" s="240"/>
      <c r="E91" s="240"/>
      <c r="F91" s="240"/>
      <c r="G91" s="240"/>
      <c r="H91" s="240"/>
      <c r="I91" s="240"/>
      <c r="J91" s="240"/>
      <c r="K91" s="240"/>
      <c r="L91" s="240"/>
      <c r="M91" s="240"/>
      <c r="N91" s="240"/>
    </row>
    <row r="92" spans="1:14" ht="18.75" customHeight="1" x14ac:dyDescent="0.25">
      <c r="A92" s="239"/>
      <c r="B92" s="240"/>
      <c r="C92" s="240"/>
      <c r="D92" s="240"/>
      <c r="E92" s="240"/>
      <c r="F92" s="240"/>
      <c r="G92" s="240"/>
      <c r="H92" s="240"/>
      <c r="I92" s="240"/>
      <c r="J92" s="240"/>
      <c r="K92" s="240"/>
      <c r="L92" s="240"/>
      <c r="M92" s="240"/>
      <c r="N92" s="240"/>
    </row>
    <row r="93" spans="1:14" ht="18.75" customHeight="1" x14ac:dyDescent="0.25">
      <c r="A93" s="239"/>
      <c r="B93" s="240"/>
      <c r="C93" s="240"/>
      <c r="D93" s="240"/>
      <c r="E93" s="240"/>
      <c r="F93" s="240"/>
      <c r="G93" s="240"/>
      <c r="H93" s="240"/>
      <c r="I93" s="240"/>
      <c r="J93" s="240"/>
      <c r="K93" s="240"/>
      <c r="L93" s="240"/>
      <c r="M93" s="240"/>
      <c r="N93" s="240"/>
    </row>
    <row r="94" spans="1:14" ht="18.75" customHeight="1" x14ac:dyDescent="0.25">
      <c r="A94" s="239"/>
      <c r="B94" s="240"/>
      <c r="C94" s="240"/>
      <c r="D94" s="240"/>
      <c r="E94" s="240"/>
      <c r="F94" s="240"/>
      <c r="G94" s="240"/>
      <c r="H94" s="240"/>
      <c r="I94" s="240"/>
      <c r="J94" s="240"/>
      <c r="K94" s="240"/>
      <c r="L94" s="240"/>
      <c r="M94" s="240"/>
      <c r="N94" s="240"/>
    </row>
    <row r="95" spans="1:14" ht="18.75" customHeight="1" x14ac:dyDescent="0.25">
      <c r="A95" s="239"/>
      <c r="B95" s="240"/>
      <c r="C95" s="240"/>
      <c r="D95" s="240"/>
      <c r="E95" s="240"/>
      <c r="F95" s="240"/>
      <c r="G95" s="240"/>
      <c r="H95" s="240"/>
      <c r="I95" s="240"/>
      <c r="J95" s="240"/>
      <c r="K95" s="240"/>
      <c r="L95" s="240"/>
      <c r="M95" s="240"/>
      <c r="N95" s="240"/>
    </row>
    <row r="96" spans="1:14" ht="18.75" customHeight="1" x14ac:dyDescent="0.25">
      <c r="A96" s="239"/>
      <c r="B96" s="240"/>
      <c r="C96" s="240"/>
      <c r="D96" s="240"/>
      <c r="E96" s="240"/>
      <c r="F96" s="240"/>
      <c r="G96" s="240"/>
      <c r="H96" s="240"/>
      <c r="I96" s="240"/>
      <c r="J96" s="240"/>
      <c r="K96" s="240"/>
      <c r="L96" s="240"/>
      <c r="M96" s="240"/>
      <c r="N96" s="240"/>
    </row>
    <row r="97" spans="1:14" ht="18.75" customHeight="1" x14ac:dyDescent="0.25">
      <c r="A97" s="239"/>
      <c r="B97" s="240"/>
      <c r="C97" s="240"/>
      <c r="D97" s="240"/>
      <c r="E97" s="240"/>
      <c r="F97" s="240"/>
      <c r="G97" s="240"/>
      <c r="H97" s="240"/>
      <c r="I97" s="240"/>
      <c r="J97" s="240"/>
      <c r="K97" s="240"/>
      <c r="L97" s="240"/>
      <c r="M97" s="240"/>
      <c r="N97" s="240"/>
    </row>
    <row r="98" spans="1:14" ht="18.75" customHeight="1" x14ac:dyDescent="0.25">
      <c r="A98" s="239"/>
      <c r="B98" s="240"/>
      <c r="C98" s="240"/>
      <c r="D98" s="240"/>
      <c r="E98" s="240"/>
      <c r="F98" s="240"/>
      <c r="G98" s="240"/>
      <c r="H98" s="240"/>
      <c r="I98" s="240"/>
      <c r="J98" s="240"/>
      <c r="K98" s="240"/>
      <c r="L98" s="240"/>
      <c r="M98" s="240"/>
      <c r="N98" s="240"/>
    </row>
    <row r="99" spans="1:14" ht="18.75" customHeight="1" x14ac:dyDescent="0.25">
      <c r="A99" s="239"/>
      <c r="B99" s="240"/>
      <c r="C99" s="240"/>
      <c r="D99" s="240"/>
      <c r="E99" s="240"/>
      <c r="F99" s="240"/>
      <c r="G99" s="240"/>
      <c r="H99" s="240"/>
      <c r="I99" s="240"/>
      <c r="J99" s="240"/>
      <c r="K99" s="240"/>
      <c r="L99" s="240"/>
      <c r="M99" s="240"/>
      <c r="N99" s="240"/>
    </row>
    <row r="100" spans="1:14" ht="18.75" customHeight="1" x14ac:dyDescent="0.25">
      <c r="A100" s="239"/>
      <c r="B100" s="240"/>
      <c r="C100" s="240"/>
      <c r="D100" s="240"/>
      <c r="E100" s="240"/>
      <c r="F100" s="240"/>
      <c r="G100" s="240"/>
      <c r="H100" s="240"/>
      <c r="I100" s="240"/>
      <c r="J100" s="240"/>
      <c r="K100" s="240"/>
      <c r="L100" s="240"/>
      <c r="M100" s="240"/>
      <c r="N100" s="240"/>
    </row>
  </sheetData>
  <mergeCells count="22">
    <mergeCell ref="O1:Y1"/>
    <mergeCell ref="Z1:Z2"/>
    <mergeCell ref="P14:Y14"/>
    <mergeCell ref="P15:Y15"/>
    <mergeCell ref="P16:Y16"/>
    <mergeCell ref="O18:O19"/>
    <mergeCell ref="P19:Y19"/>
    <mergeCell ref="P20:Y20"/>
    <mergeCell ref="AB3:AB12"/>
    <mergeCell ref="AC3:AC12"/>
    <mergeCell ref="P17:Y17"/>
    <mergeCell ref="AH3:AH12"/>
    <mergeCell ref="AH1:AH2"/>
    <mergeCell ref="AE3:AE12"/>
    <mergeCell ref="AA1:AA2"/>
    <mergeCell ref="AB1:AB2"/>
    <mergeCell ref="AC1:AC2"/>
    <mergeCell ref="AD1:AD2"/>
    <mergeCell ref="AE1:AE2"/>
    <mergeCell ref="AG3:AG12"/>
    <mergeCell ref="AF1:AG2"/>
    <mergeCell ref="AD3:AD12"/>
  </mergeCell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Eccentricity, Radius &amp; Diameter</vt:lpstr>
      <vt:lpstr>Degree distribution</vt:lpstr>
      <vt:lpstr>e(i),radius &amp; Diam digraph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2020-02-12T12:25:39Z</dcterms:created>
  <dcterms:modified xsi:type="dcterms:W3CDTF">2021-06-06T08:01:42Z</dcterms:modified>
</cp:coreProperties>
</file>